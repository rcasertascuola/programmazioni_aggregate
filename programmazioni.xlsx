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13.xml"/>
  <Override ContentType="application/vnd.openxmlformats-officedocument.spreadsheetml.table+xml" PartName="/xl/tables/table4.xml"/>
  <Override ContentType="application/vnd.openxmlformats-officedocument.spreadsheetml.table+xml" PartName="/xl/tables/table1.xml"/>
  <Override ContentType="application/vnd.openxmlformats-officedocument.spreadsheetml.table+xml" PartName="/xl/tables/table2.xml"/>
  <Override ContentType="application/vnd.openxmlformats-officedocument.spreadsheetml.table+xml" PartName="/xl/tables/table15.xml"/>
  <Override ContentType="application/vnd.openxmlformats-officedocument.spreadsheetml.table+xml" PartName="/xl/tables/table6.xml"/>
  <Override ContentType="application/vnd.openxmlformats-officedocument.spreadsheetml.table+xml" PartName="/xl/tables/table8.xml"/>
  <Override ContentType="application/vnd.openxmlformats-officedocument.spreadsheetml.table+xml" PartName="/xl/tables/table11.xml"/>
  <Override ContentType="application/vnd.openxmlformats-officedocument.spreadsheetml.table+xml" PartName="/xl/tables/table5.xml"/>
  <Override ContentType="application/vnd.openxmlformats-officedocument.spreadsheetml.table+xml" PartName="/xl/tables/table3.xml"/>
  <Override ContentType="application/vnd.openxmlformats-officedocument.spreadsheetml.table+xml" PartName="/xl/tables/table17.xml"/>
  <Override ContentType="application/vnd.openxmlformats-officedocument.spreadsheetml.table+xml" PartName="/xl/tables/table10.xml"/>
  <Override ContentType="application/vnd.openxmlformats-officedocument.spreadsheetml.table+xml" PartName="/xl/tables/table7.xml"/>
  <Override ContentType="application/vnd.openxmlformats-officedocument.spreadsheetml.table+xml" PartName="/xl/tables/table16.xml"/>
  <Override ContentType="application/vnd.openxmlformats-officedocument.spreadsheetml.table+xml" PartName="/xl/tables/table14.xml"/>
  <Override ContentType="application/vnd.openxmlformats-officedocument.spreadsheetml.table+xml" PartName="/xl/tables/table12.xml"/>
  <Override ContentType="application/vnd.openxmlformats-officedocument.spreadsheetml.table+xml" PartName="/xl/tables/table9.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2.xml"/>
  <Override ContentType="application/vnd.openxmlformats-officedocument.spreadsheetml.worksheet+xml" PartName="/xl/worksheets/sheet17.xml"/>
  <Override ContentType="application/vnd.openxmlformats-officedocument.spreadsheetml.worksheet+xml" PartName="/xl/worksheets/sheet15.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16.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14.xml"/>
  <Override ContentType="application/vnd.openxmlformats-officedocument.spreadsheetml.worksheet+xml" PartName="/xl/worksheets/sheet13.xml"/>
  <Override ContentType="application/vnd.openxmlformats-officedocument.spreadsheetml.worksheet+xml" PartName="/xl/worksheets/sheet1.xml"/>
  <Override ContentType="application/vnd.openxmlformats-officedocument.spreadsheetml.worksheet+xml" PartName="/xl/worksheets/sheet3.xml"/>
  <Override ContentType="application/vnd.openxmlformats-officedocument.spreadsheetml.worksheet+xml" PartName="/xl/worksheets/sheet9.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6.xml"/>
  <Override ContentType="application/vnd.openxmlformats-officedocument.drawing+xml" PartName="/xl/drawings/drawing15.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17.xml"/>
  <Override ContentType="application/vnd.openxmlformats-officedocument.drawing+xml" PartName="/xl/drawings/drawing8.xml"/>
  <Override ContentType="application/vnd.openxmlformats-officedocument.drawing+xml" PartName="/xl/drawings/drawing16.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5.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templates" sheetId="1" r:id="rId4"/>
    <sheet state="visible" name="programmazioni" sheetId="2" r:id="rId5"/>
    <sheet state="visible" name="parametri_elenchi" sheetId="3" r:id="rId6"/>
    <sheet state="visible" name="periodo" sheetId="4" r:id="rId7"/>
    <sheet state="visible" name="docenti" sheetId="5" r:id="rId8"/>
    <sheet state="visible" name="manuali" sheetId="6" r:id="rId9"/>
    <sheet state="visible" name="discipline" sheetId="7" r:id="rId10"/>
    <sheet state="visible" name="uda" sheetId="8" r:id="rId11"/>
    <sheet state="visible" name="moduli" sheetId="9" r:id="rId12"/>
    <sheet state="visible" name="ud" sheetId="10" r:id="rId13"/>
    <sheet state="visible" name="conoscenze" sheetId="11" r:id="rId14"/>
    <sheet state="visible" name="abilità" sheetId="12" r:id="rId15"/>
    <sheet state="visible" name="competenze" sheetId="13" r:id="rId16"/>
    <sheet state="visible" name="abilità_specifiche" sheetId="14" r:id="rId17"/>
    <sheet state="visible" name="abilità_TO_abilità_specifiche" sheetId="15" r:id="rId18"/>
    <sheet state="visible" name="abilità_specifiche_TO_modulo" sheetId="16" r:id="rId19"/>
    <sheet state="visible" name="competenze_TO_modulo" sheetId="17" r:id="rId20"/>
  </sheets>
  <definedNames/>
  <calcPr/>
</workbook>
</file>

<file path=xl/sharedStrings.xml><?xml version="1.0" encoding="utf-8"?>
<sst xmlns="http://schemas.openxmlformats.org/spreadsheetml/2006/main" count="490" uniqueCount="315">
  <si>
    <t>id</t>
  </si>
  <si>
    <t>chiave</t>
  </si>
  <si>
    <t>valore</t>
  </si>
  <si>
    <t>cartella_destinazione</t>
  </si>
  <si>
    <t>1VuIhKliG7zLA9BSGKtQGuBEkdTLPfrF8</t>
  </si>
  <si>
    <t>id_template</t>
  </si>
  <si>
    <t>18pyduR_I63YwdHKAcDdwDvez8wlo2W0gNBUow5k4RFE</t>
  </si>
  <si>
    <t>id_sinottica</t>
  </si>
  <si>
    <t>1uQ9cT-A0K1t5U647bZQ_SLeSrcZCB3DU5oqpcat8D4I</t>
  </si>
  <si>
    <t>data</t>
  </si>
  <si>
    <t>anno_scolastico</t>
  </si>
  <si>
    <t>classe</t>
  </si>
  <si>
    <t>corso</t>
  </si>
  <si>
    <t>disciplina</t>
  </si>
  <si>
    <t>alias_disciplina</t>
  </si>
  <si>
    <t>id_docenti</t>
  </si>
  <si>
    <t>id_manuali</t>
  </si>
  <si>
    <t>situazione_classe</t>
  </si>
  <si>
    <t>annualità</t>
  </si>
  <si>
    <t>ore_teoria</t>
  </si>
  <si>
    <t>ore_laboratorio</t>
  </si>
  <si>
    <t>attività_extrcurriculari</t>
  </si>
  <si>
    <t>11/11/2025</t>
  </si>
  <si>
    <t>2025/26</t>
  </si>
  <si>
    <t>H</t>
  </si>
  <si>
    <r>
      <rPr>
        <rFont val="Arial"/>
        <color theme="1"/>
      </rPr>
      <t xml:space="preserve">La classe presenta un quadro fortemente polarizzato. Emerge un gruppo significativo di studenti (circa un terzo) con un profilo molto critico, caratterizzato da passività, disinteresse, metodo di studio quasi inesistente e, in alcuni casi, comportamenti problematici. A questo si contrappone un gruppo più ristretto di studenti eccellenti, molto motivati, corretti e partecipativi. Infine, esiste un gruppo "intermedio" consistente, caratterizzato da forte insicurezza: studenti che, pur avendo basi corrette (rispetto regole, consegne), non hanno fiducia nei propri mezzi e faticano a partecipare attivamente. 
In seguito a un test di autovalutazione si sono individuati i seguenti punti di debolezza e punti di forza.
</t>
    </r>
    <r>
      <rPr>
        <rFont val="Arial"/>
        <i/>
        <color theme="1"/>
      </rPr>
      <t xml:space="preserve">Le principali aree critiche risiedono nei seguenti punti. </t>
    </r>
    <r>
      <rPr>
        <rFont val="Arial"/>
        <color theme="1"/>
      </rPr>
      <t xml:space="preserve">
- Studio Autonomo: è la criticità più diffusa e grave. La maggior parte degli studenti non ha ancora sviluppato un metodo di studio efficace faticando molto a organizzarsi.
- Partecipazione Attiva: la passività è molto diffusa. Molti studenti preferiscono non fare domande e trovano difficile prendere l'iniziativa per parlare. La distrazione è un problema comune.
- Interesse e Motivazione: una parte significativa della classe mostra poco interesse per la materia impegnandosi solo per la sufficienza.
- Percezione del Rendimento: molti studenti (anche quelli con buone basi) sono tuttavia insoddisfatti e ritengono che i loro risultati siano scarsi anche se studiano. 
</t>
    </r>
    <r>
      <rPr>
        <rFont val="Arial"/>
        <i/>
        <color theme="1"/>
      </rPr>
      <t>I punti di forza collettivi risiedono nei seguenti punti.</t>
    </r>
    <r>
      <rPr>
        <rFont val="Arial"/>
        <color theme="1"/>
      </rPr>
      <t xml:space="preserve">
- Rispetto delle Consegne: la maggioranza degli studenti si assicurano di completare i compiti per tempo cosicché le scadenze siano tendenzialmente rispettate.
- Rispetto Formale: la maggior parte degli studenti mantiene un comportamento corretto verso l'insegnante.
</t>
    </r>
    <r>
      <rPr>
        <rFont val="Arial"/>
        <b/>
        <color theme="1"/>
      </rPr>
      <t>Si è pertanto di procedere con i seguenti interventi prioritari.</t>
    </r>
    <r>
      <rPr>
        <rFont val="Arial"/>
        <color theme="1"/>
      </rPr>
      <t xml:space="preserve">
- Costruzione del Metodo di Studio: un intervento collettivo per fornire strumenti base su come prendere appunti, come rivederli, come pianificare lo studio ed evitare lo studio "all-nighter".
- Lavoro sulla Motivazione: sfruttare un punto di forza universale (il laboratorio) per agganciare gli studenti più demotivati, rendendo la materia più pratica e meno teorica.
- Gestione della Passività: creare un clima di classe sicuro per abbassare l'ansia da prestazione e incoraggiare gli studenti "incerti" a prendere l'iniziativa, magari attraverso lavori di gruppo strutturati.</t>
    </r>
  </si>
  <si>
    <t>Come da programmazione coordinata.</t>
  </si>
  <si>
    <t>F</t>
  </si>
  <si>
    <t>voce_elenco</t>
  </si>
  <si>
    <t>flag</t>
  </si>
  <si>
    <t>ddi-1</t>
  </si>
  <si>
    <t>Lezione Frontale</t>
  </si>
  <si>
    <t>ddi-2</t>
  </si>
  <si>
    <t>Lezione Dialogata</t>
  </si>
  <si>
    <t>ddi-3</t>
  </si>
  <si>
    <t>Problem Solving</t>
  </si>
  <si>
    <t>ddi-4</t>
  </si>
  <si>
    <t>Cooperative Learning</t>
  </si>
  <si>
    <t>ddi-5</t>
  </si>
  <si>
    <t>Alternanza Scuola-Lavoro</t>
  </si>
  <si>
    <t>ddi-6</t>
  </si>
  <si>
    <t>Didattica Digitale Integrata</t>
  </si>
  <si>
    <t>ddi-7</t>
  </si>
  <si>
    <t>Flipped Classroom</t>
  </si>
  <si>
    <t>ddi-8</t>
  </si>
  <si>
    <t>Esecuzione di Attività Pratiche</t>
  </si>
  <si>
    <t>ddi-9</t>
  </si>
  <si>
    <t>Lavoro di Gruppo</t>
  </si>
  <si>
    <t>ddi-10</t>
  </si>
  <si>
    <t>Casi di Studio</t>
  </si>
  <si>
    <t>ddi-11</t>
  </si>
  <si>
    <t>E-Learning</t>
  </si>
  <si>
    <t>ddi-12</t>
  </si>
  <si>
    <t>Peer Tutoring</t>
  </si>
  <si>
    <t>ddi-13</t>
  </si>
  <si>
    <t>Jigsaw</t>
  </si>
  <si>
    <t>ddi-14</t>
  </si>
  <si>
    <t>Altro:</t>
  </si>
  <si>
    <t>dads-1</t>
  </si>
  <si>
    <t>Video lezioni in diretta</t>
  </si>
  <si>
    <t>dads-2</t>
  </si>
  <si>
    <t>Verifica orale degli apprendimenti</t>
  </si>
  <si>
    <t>dads-3</t>
  </si>
  <si>
    <t>Consegne  (elaborati digitali, test strutturati, …)</t>
  </si>
  <si>
    <t>dads-4</t>
  </si>
  <si>
    <t>dads-5</t>
  </si>
  <si>
    <t>dads-6</t>
  </si>
  <si>
    <t>dads-7</t>
  </si>
  <si>
    <t>dads-8</t>
  </si>
  <si>
    <t>Attività Pratiche</t>
  </si>
  <si>
    <t>dads-9</t>
  </si>
  <si>
    <t>dads-10</t>
  </si>
  <si>
    <t>dads-11</t>
  </si>
  <si>
    <t>dads-12</t>
  </si>
  <si>
    <t>dads-13</t>
  </si>
  <si>
    <t>dada-1</t>
  </si>
  <si>
    <t>Realizzazione di mappe concettuali</t>
  </si>
  <si>
    <t>dada-2</t>
  </si>
  <si>
    <t>Invio di materiale multimediale, Power Point, esercizi o test da svolgere (Videolezione, Documentari, Project Work …)</t>
  </si>
  <si>
    <t>dada-3</t>
  </si>
  <si>
    <t>Invio di tracce per elaborati</t>
  </si>
  <si>
    <t>dada-4</t>
  </si>
  <si>
    <t>Invio di sintesi degli argomenti svolti in presenza</t>
  </si>
  <si>
    <t>dada-5</t>
  </si>
  <si>
    <t>Invio di testi e/o sintesi scientifiche o specifiche della disciplina da analizzare</t>
  </si>
  <si>
    <t>dada-6</t>
  </si>
  <si>
    <t>mezzi-1</t>
  </si>
  <si>
    <t>Libri di Testo</t>
  </si>
  <si>
    <t>mezzi-2</t>
  </si>
  <si>
    <t>Audiovisivi</t>
  </si>
  <si>
    <t>mezzi-3</t>
  </si>
  <si>
    <t>Prodotti Multimediali</t>
  </si>
  <si>
    <t>mezzi-4</t>
  </si>
  <si>
    <t>Riviste Specializzate</t>
  </si>
  <si>
    <t>mezzi-5</t>
  </si>
  <si>
    <t>Risorse di Rete</t>
  </si>
  <si>
    <t>mezzi-6</t>
  </si>
  <si>
    <t>Strumenti Tecnici</t>
  </si>
  <si>
    <t>mezzi-7</t>
  </si>
  <si>
    <t>Diario di Bordo</t>
  </si>
  <si>
    <t>mezzi-8</t>
  </si>
  <si>
    <t>Dispositivi Elettronici</t>
  </si>
  <si>
    <t>mezzi-9</t>
  </si>
  <si>
    <t>strumenti-1</t>
  </si>
  <si>
    <t>Aula Informatica</t>
  </si>
  <si>
    <t>strumenti-2</t>
  </si>
  <si>
    <t>Laboratorio</t>
  </si>
  <si>
    <t>strumenti-3</t>
  </si>
  <si>
    <t>Biblioteca</t>
  </si>
  <si>
    <t>strumenti-4</t>
  </si>
  <si>
    <t>Palestra</t>
  </si>
  <si>
    <t>strumenti-5</t>
  </si>
  <si>
    <t>Piattaforme (Microsoft Teams, Edmodo, GMeet, Zoom)</t>
  </si>
  <si>
    <t>strumenti-6</t>
  </si>
  <si>
    <t>Laboratori</t>
  </si>
  <si>
    <t>strumenti-7</t>
  </si>
  <si>
    <t>Strutture Convenzionate per PCTO:</t>
  </si>
  <si>
    <t>strumenti-8</t>
  </si>
  <si>
    <t>strumenti-9</t>
  </si>
  <si>
    <t>ver-1</t>
  </si>
  <si>
    <t>Colloqui Orali</t>
  </si>
  <si>
    <t>ver-2</t>
  </si>
  <si>
    <t>Prove Scritte</t>
  </si>
  <si>
    <t>ver-3</t>
  </si>
  <si>
    <t>Prove Scritte – Grafiche</t>
  </si>
  <si>
    <t>ver-4</t>
  </si>
  <si>
    <t>Ricerche personali o di gruppo</t>
  </si>
  <si>
    <t>ver-5</t>
  </si>
  <si>
    <t>Project Work</t>
  </si>
  <si>
    <t>ver-6</t>
  </si>
  <si>
    <t>Dialogo Interattivo</t>
  </si>
  <si>
    <t>ver-7</t>
  </si>
  <si>
    <t>Test Interattivi:  
  ☐ Google Moduli
  🗹 Microsoft Forms
  ☐ Quizlet
  ☐ Kahoot
  ☐ Zanichelli Zte
  ☐ Teacher Desmos
  ☐ Altro:</t>
  </si>
  <si>
    <t>ver-8</t>
  </si>
  <si>
    <t>☐ Altro:</t>
  </si>
  <si>
    <t>ver-9</t>
  </si>
  <si>
    <t>🗹 Questionari a Risposta Chiusa</t>
  </si>
  <si>
    <t>ver-10</t>
  </si>
  <si>
    <t>🗹 Questionari a Risposta Aperta</t>
  </si>
  <si>
    <t>ver-11</t>
  </si>
  <si>
    <t>🗹 Questionari a Risposta Multipla</t>
  </si>
  <si>
    <t>ver-12</t>
  </si>
  <si>
    <t>🗹 Questionari Vero - Falso</t>
  </si>
  <si>
    <t>ver-13</t>
  </si>
  <si>
    <t>🗹 Compiti di Realtà</t>
  </si>
  <si>
    <t>ver-14</t>
  </si>
  <si>
    <t>Verifiche per Competenze: 
  🗹 Commento a Testi;
  🗹 Creazione e Risoluzione di Esercizi (Problem  Solving E Posing)
  ☐ Mappa Di Sintesi;
  🗹 Riflessione Critica
  ☐ Debate: Argomentare Con Punti Di Vista Diversi
  ☐ Percorsi Con Immagini E Testi
  ☐ Saggio Di Comparazione
  ☐ Altro:</t>
  </si>
  <si>
    <t>ver-15</t>
  </si>
  <si>
    <t>Verifiche per Competenze con il Digitale  
  ☐ Pagina Web (Sites)
  ☐ Immagini, Mappe e Presentazioni Animate  (Genial.Ly)
  ☐ Realizzazione Di Ebooks
  ☐ Lavori di Gruppo con documenti o produzioni multimediali condivise
  ☐ Presentazioni (Ppt, Prezi, Google Presentation, Slides, Genial.Ly, Etc.)
  ☐ Video (Spark Adobe, Powtoon, Stop Motion, Etc.)
  ☐ Reading Collettivi Da Registrare
  ☐ Altro:</t>
  </si>
  <si>
    <t>nome</t>
  </si>
  <si>
    <t>secondo biennio</t>
  </si>
  <si>
    <t>ultimo anno</t>
  </si>
  <si>
    <t>elenco</t>
  </si>
  <si>
    <t>prof. R. Caserta, prof. M. Lo Brutto</t>
  </si>
  <si>
    <t>prof. R. Caserta, prof. M. Genovese</t>
  </si>
  <si>
    <t>manuale</t>
  </si>
  <si>
    <t>anno</t>
  </si>
  <si>
    <t>dispense</t>
  </si>
  <si>
    <t>sistemi 5 anno</t>
  </si>
  <si>
    <t>alias</t>
  </si>
  <si>
    <t>finalità</t>
  </si>
  <si>
    <t>Sitemi e Reti</t>
  </si>
  <si>
    <t>Sistemi</t>
  </si>
  <si>
    <t>La disciplina "Sistemi e reti" concorre a far conseguire allo studente al termine del percorso quinquennale i seguenti risultati di
apprendimento relativi al profilo educativo, culturale e professionale dello studente coerenti con la disciplina: 
- cogliere l’importanza dell’orientamento al risultato, del lavoro per obiettivi e della necessità di assumere responsabilità nel rispetto dell’etica e della
deontologia professionale; 
- orientarsi nella normativa che disciplina i processi produttivi del settore di riferimento, con particolare
attenzione sia alla sicurezza sui luoghi di vita e di lavoro sia alla tutela dell’ambiente e del territorio; 
- intervenire nelle diverse fasi e livelli del processo produttivo, dall’ideazione alla realizzazione del prodotto, per la parte di propria competenza, utilizzando gli
strumenti di progettazione, documentazione e controllo;
- riconoscere gli aspetti di efficacia, efficienza e qualità nella propria attività lavorativa.</t>
  </si>
  <si>
    <t>Tecnologia e Progettazione di Sistemi Informatici e di Telecomunicazioni</t>
  </si>
  <si>
    <t>TeP</t>
  </si>
  <si>
    <t>Intelligenza Aritficiale</t>
  </si>
  <si>
    <t>IA</t>
  </si>
  <si>
    <t>Trasversale</t>
  </si>
  <si>
    <t>Trs</t>
  </si>
  <si>
    <t>titolo</t>
  </si>
  <si>
    <t>id_discipline</t>
  </si>
  <si>
    <t>alias_discipline</t>
  </si>
  <si>
    <t>Crittografia</t>
  </si>
  <si>
    <t>Architettura e Sviluppo di un Servizio Web</t>
  </si>
  <si>
    <t>id_uda</t>
  </si>
  <si>
    <t>titolo_uda</t>
  </si>
  <si>
    <t>realizza</t>
  </si>
  <si>
    <t>Crittografia Classica</t>
  </si>
  <si>
    <t>Crittografia Quantistica</t>
  </si>
  <si>
    <t>Architettura</t>
  </si>
  <si>
    <t>Sviluppo</t>
  </si>
  <si>
    <t>API e Strutture dati</t>
  </si>
  <si>
    <t>ordinale</t>
  </si>
  <si>
    <t>id_modulo</t>
  </si>
  <si>
    <t>titolo_modulo</t>
  </si>
  <si>
    <t>titolo_disciplina</t>
  </si>
  <si>
    <t>Fondamenti e Storia della Crittografia</t>
  </si>
  <si>
    <t>Funzioni Hash: L'Impronta Digitale dei Dati</t>
  </si>
  <si>
    <t>Crittografia Simmetrica: Algoritmi Storici e Moderni</t>
  </si>
  <si>
    <t>Aritmetica Modulare e Teoria dei Numeri</t>
  </si>
  <si>
    <t>Crittografia Asimmetrica e Scambio di Chiavi (RSA)</t>
  </si>
  <si>
    <t>Scambio di Chiavi Diffie-Hellman</t>
  </si>
  <si>
    <t>Fondamenti di Meccanica Quantistica per l'IT</t>
  </si>
  <si>
    <t>Complessità Algoritmica e Classi di Complessità</t>
  </si>
  <si>
    <t>Simulazione di Circuiti Quantistici</t>
  </si>
  <si>
    <t>L'Algoritmo di Shor e la Minaccia a RSA</t>
  </si>
  <si>
    <t>Sviluppo API REST (con Laravel)</t>
  </si>
  <si>
    <t>Sicurezza e Autenticazione API</t>
  </si>
  <si>
    <t>Strumenti di Sviluppo</t>
  </si>
  <si>
    <t>Workflow</t>
  </si>
  <si>
    <t>Standard Web e Design (HTML5)</t>
  </si>
  <si>
    <t>Logica Client (ECMAScript)</t>
  </si>
  <si>
    <t>Consumo API e Scambio Dati</t>
  </si>
  <si>
    <t>Strutture Dati e Scambio (JSON)</t>
  </si>
  <si>
    <t>id_ud</t>
  </si>
  <si>
    <t>id_disciplina</t>
  </si>
  <si>
    <t>Definizioni (Crittografia, Criptoanalisi), obiettivi.</t>
  </si>
  <si>
    <t>Evoluzione storica (da Vigenère a RSA). L'era pre-calcolatore (ENIGMA) e l'era moderna.</t>
  </si>
  <si>
    <t>Il contesto della crittografia post-quantistica.</t>
  </si>
  <si>
    <t>Le tre proprietà crittografiche (Unidirezionalità, Effetto Valanga, Resistenza alle Collisioni). Uso di Hashing e Salting per password</t>
  </si>
  <si>
    <t>Struttura e obsolescenza di DES/3DES. Architettura di AES e modalità di funzionamento .</t>
  </si>
  <si>
    <t>Fondamenti dell'Aritmetica Modulare e concetto di congruenza.</t>
  </si>
  <si>
    <t>Funzionamento di RSA. Problema matematico sottostante (Fattorizzazione). Concetto di chiave pubblica e privata.</t>
  </si>
  <si>
    <t>Funzionamento del protocollo Diffie-Hellman-Merkle (DHM). Problema matematico sottostante (Logaritmo Discreto).</t>
  </si>
  <si>
    <t>Il Qubit: sovrapposizione ed entanglement. Differenza tra bit classico e qubit. Il collasso della funzione d'onda (misurazione) e il principio di indeterminazione.</t>
  </si>
  <si>
    <t>Notazione O-grande (Big-O). Classi P, NP, NP-completo. La classe BQP (Bounded-error Quantum Polynomial time) e la sua relazione con le classi classiche. Esempi (ricerca lineare vs. binaria).</t>
  </si>
  <si>
    <t>Panoramica delle librerie di sviluppo (es. Qiskit, Cirq). Concetto di porte quantistiche (Hadamard, Pauli-X, CNOT). Costruzione di semplici circuiti (es. stato di Bell, teletrasporto base).</t>
  </si>
  <si>
    <t>Il problema della fattorizzazione (alla base di RSA, UDA 1.5). Descrizione concettuale dell'algoritmo di Shor. Impatto sulla crittografia asimmetrica moderna. Introduzione alla Crittografia Post-Quantistica (PQC).</t>
  </si>
  <si>
    <t>Architettura REST. Struttura framework backend MVC (es. Laravel). Routing. ORM (Object-Relational Mapping).</t>
  </si>
  <si>
    <t>Principi di autenticazione stateless. Standard comuni come JWT (JSON Web Tokens). Concetto di "bearer token". (Collegamento con UDA 1 - Crittografia).</t>
  </si>
  <si>
    <t>Conoscenza degli strumenti di IA per lo sviluppo (es. "Jules" / GitHub Copilot) per generazione codice, debug, documentazione.</t>
  </si>
  <si>
    <t>Flussi di lavoro (es. Git Flow). Sistemi di versioning (GitHub).</t>
  </si>
  <si>
    <t>Struttura semantica di HTML5. Principi di responsive design (Flexbox, Grid). Utilizzo di librerie UI (es. Bootstrap).</t>
  </si>
  <si>
    <t>Sintassi moderna di JavaScript (ECMAScript ES6+): let/const, arrow function, classi, moduli. Programmazione Asincrona: Promise, async/await.</t>
  </si>
  <si>
    <t>Protocollo HTTP (lato client). Metodi per effettuare richieste di rete (es. Fetch API). Gestione delle risposte JSON e degli errori. Autenticazione (invio del token).</t>
  </si>
  <si>
    <t>Formati interscambio dati (Strutture Dati): sintassi e uso di JSON per lo scambio dati tra applicazioni. Serializzazione e deserializzazione.</t>
  </si>
  <si>
    <t>id_periodo</t>
  </si>
  <si>
    <t>fonte</t>
  </si>
  <si>
    <t>tipo</t>
  </si>
  <si>
    <t>Identificare e analizzare gli aspetti funzionali dei principali componenti di un sistema operativo.</t>
  </si>
  <si>
    <t>ministeriale</t>
  </si>
  <si>
    <t>cognitiva</t>
  </si>
  <si>
    <t>Scegliere il sistema operativo adeguato ad un determinato ambiente di sviluppo.</t>
  </si>
  <si>
    <t>Progettare e realizzare applicazioni che interagiscono con le funzionalità dei sistemi operativi.</t>
  </si>
  <si>
    <t>pratica</t>
  </si>
  <si>
    <t>Progettare e realizzare applicazioni in modalità concorrente.</t>
  </si>
  <si>
    <t>Identificare le fasi di un progetto nel contesto del ciclo di sviluppo.</t>
  </si>
  <si>
    <t>Documentare i requisiti e gli aspetti architetturali di un prodotto/servizio, anche in riferimento a standard di settore.</t>
  </si>
  <si>
    <t>Applicare le normative di settore sulla sicurezza e la tutela ambientale.</t>
  </si>
  <si>
    <t>Realizzare applicazioni per la comunicazione di rete.</t>
  </si>
  <si>
    <t>ministeriali</t>
  </si>
  <si>
    <t>Progettare l’architettura di un prodotto/servizio individuandone le componenti tecnologiche.</t>
  </si>
  <si>
    <t>Progettare semplici protocolli di comunicazione.</t>
  </si>
  <si>
    <t>Realizzare semplici applicazioni orientate ai servizi.</t>
  </si>
  <si>
    <t>Selezionare, installare, configurare e gestire un servizio di rete locale o ad accesso pubblico.</t>
  </si>
  <si>
    <t>dipartimentale</t>
  </si>
  <si>
    <t>Integrare differenti sistemi operativi in rete</t>
  </si>
  <si>
    <t>Utilizzare il lessico e la terminologia tecnica di settore anche in lingua inglese.</t>
  </si>
  <si>
    <t>Identificare i principali dispositivi periferici.</t>
  </si>
  <si>
    <t>selezionare un dispositivo adatto all’applicazione data.</t>
  </si>
  <si>
    <t>Identificare le caratteristiche di un servizio di rete.</t>
  </si>
  <si>
    <t>Sviluppare programmi client/server utilizzando protocolli esistenti.</t>
  </si>
  <si>
    <t>codice</t>
  </si>
  <si>
    <t>c</t>
  </si>
  <si>
    <t>competenza alfabetica funzionale</t>
  </si>
  <si>
    <t>apprendimento permanente</t>
  </si>
  <si>
    <t>competenza multilinguistica</t>
  </si>
  <si>
    <t>competenza matematica e competenza in scienze, tecnologie e ingegneria</t>
  </si>
  <si>
    <t>competenza digitale</t>
  </si>
  <si>
    <t>competenza personale, sociale e capacità di imparare a imparare</t>
  </si>
  <si>
    <t>competenza in materia di cittadinanza</t>
  </si>
  <si>
    <t>competenza imprenditoriale</t>
  </si>
  <si>
    <t>competenza in materia di consapevolezza ed espressione culturali</t>
  </si>
  <si>
    <t>competenze green</t>
  </si>
  <si>
    <t>i</t>
  </si>
  <si>
    <t>Utilizzare le strategie del pensiero razionale negli aspetti dialettici ed algoritmici per affrontare situazioni problematiche elaborando opportune soluzioni.</t>
  </si>
  <si>
    <t>indirizzo</t>
  </si>
  <si>
    <t>Sviluppare applicazioni informatiche.</t>
  </si>
  <si>
    <t>Descrivere e comparare il funzionamento di dispositivi e strumenti informatici, scegliere dispositivi e strumenti in base alle loro caratteristiche funzionali.</t>
  </si>
  <si>
    <t>Gestire progetti secondo le procedure e gli standard previsti dai sistemi aziendali di gestione della qualità e della sicurezza.</t>
  </si>
  <si>
    <t>Redigere relazioni tecniche e documentare le attività individuali e di gruppo relative a situazioni professionali.</t>
  </si>
  <si>
    <t>Sviluppare applicazioni informatiche per reti locali o servizi a distanza.</t>
  </si>
  <si>
    <t>Descrivere e comparare il funzionamento di dispositivi e strumenti informatici; scegliere dispositivi e strumenti in base alle loro caratteristiche funzionali.</t>
  </si>
  <si>
    <t>d</t>
  </si>
  <si>
    <t>Sviluppare applicazioni informatiche per reti locali o servizi a distanza;</t>
  </si>
  <si>
    <t>disciplinari</t>
  </si>
  <si>
    <t>Scegliere dispositivi e strumenti in base alle loro caratteristiche funzionali;</t>
  </si>
  <si>
    <t>Gestire processi produttivi correlati a funzioni aziendali;</t>
  </si>
  <si>
    <t>Configurare, installare e gestire sistemi di elaborazione dati e reti;</t>
  </si>
  <si>
    <t>Contestualizzare l'esigenza di sicurezza nel "cyber caos".</t>
  </si>
  <si>
    <t>Valutare l'integrità dei dati.</t>
  </si>
  <si>
    <t>Valutare la robustezza (es. lunghezza chiave DES vs AES). Identificare vulnerabilità.</t>
  </si>
  <si>
    <t>Applicare i principi dell'aritmetica modulare per comprendere i problemi matematici (fattorizzazione, logaritmo discreto) alla base della crittografia asimmetrica.</t>
  </si>
  <si>
    <t>Descrivere il processo di generazione chiavi, cifratura, decifratura e firma con RSA.</t>
  </si>
  <si>
    <t>Descrivere il protocollo DHM e come genera una chiave condivisa segreta su un canale insicuro.</t>
  </si>
  <si>
    <t>Descrivere la differenza fondamentale tra computazione classica e quantistica. Spiegare come sovrapposizione ed entanglement permettano il parallelismo quantistico.</t>
  </si>
  <si>
    <t>Classificare algoritmi semplici usando la notazione O-grande. Confrontare la complessità di problemi noti (es. fattorizzazione) in ambito classico vs. quantistico.</t>
  </si>
  <si>
    <t xml:space="preserve">Leggere e interpretare un semplice circuito quantistico.  </t>
  </si>
  <si>
    <t>Spiegare perché l'algoritmo di Shor rende obsoleta RSA. Valutare criticamente la robustezza degli algoritmi di UDA 1 (RSA, DH) contro un avversario quantistico.</t>
  </si>
  <si>
    <t>Progettare l'architettura degli endpoint API (CRUD). Identificare i pattern corretti (MVC, ORM). Pratiche: Implementare endpoint API in Laravel. Definire rotte e controller. Interagire con un database. Applicare l'IA per generare codice boilerplate.</t>
  </si>
  <si>
    <t>Comprendere i flussi di autenticazione stateless (es. JWT). Pratiche: Implementare un sistema di login/registrazione API. Generare, inviare e validare token (JWT) per proteggere gli endpoint.</t>
  </si>
  <si>
    <t>Valutare criticamente l'output dell'IA. Pratiche: Sfruttare un assistente AI per ottimizzare la scrittura di codice, identificare errori e generare documentazione.</t>
  </si>
  <si>
    <t>Comprendere e scegliere il flusso di lavoro (Git Flow) adatto al progetto.</t>
  </si>
  <si>
    <t>Progettare la struttura semantica di una pagina HTML5. Scegliere le corrette tecniche di responsive design.</t>
  </si>
  <si>
    <t>Analizzare i requisiti di interattività. Progettare la logica asincrona (Promise, async/await).</t>
  </si>
  <si>
    <t>Identificare quali endpoint API consumare e come gestire le risposte (successo/errore).</t>
  </si>
  <si>
    <t>Definire e progettare la struttura dei dati (JSON) per lo scambio dati.</t>
  </si>
  <si>
    <t>Riconoscere l'evoluzione delle minacce e la necessità di aggiornamento degli algoritmi (es. post-quantistici).</t>
  </si>
  <si>
    <t>Utilizzare librerie crittografiche per calcolare il digest (hash) di un file o di un messaggio scambiato in rete per verificarne l'integrità (collegato a C1/d, C6/i).</t>
  </si>
  <si>
    <t>Cifrare un flusso di dati.</t>
  </si>
  <si>
    <t>Utilizzare RSA .</t>
  </si>
  <si>
    <t>Sviluppare semplici applicazioni (Abilità 5° anno, Fonte 7) in Python utilizzando librerie di simulazione (es. Qiskit) per implementare e testare porte logiche e circuiti di base.</t>
  </si>
  <si>
    <t>Implementare endpoint API in Laravel. Definire rotte e controller. Interagire con un database. Applicare l'IA per generare codice boilerplate.</t>
  </si>
  <si>
    <t>Implementare un sistema di login/registrazione API. Generare, inviare e validare token (JWT) per proteggere gli endpoint.</t>
  </si>
  <si>
    <t>Sfruttare un assistente AI per ottimizzare la scrittura di codice, identificare errori e generare documentazione.</t>
  </si>
  <si>
    <t>Utilizzare GitHub (branch, PR), ottimizzare la scrittura di codice, identificare errori e generare documentazione.</t>
  </si>
  <si>
    <t>Strutturare la pagina web. Creare layout responsive. Applicare stili coerenti utilizzando Bootstrap.</t>
  </si>
  <si>
    <t>Manipolare il DOM. Gestire gli eventi utente. Scrivere codice ECMAScript asincrono per gestire le interazioni di rete.</t>
  </si>
  <si>
    <t>Inviare richieste (es. Fetch API) all'API (UDA 2). Gestire l'invio di token di autenticazione. Parsare le risposte JSON e aggiornare l'UI.</t>
  </si>
  <si>
    <t>Implementare la serializzazione/deserializzazione. Scrivere regole di validazione per i dati in ingresso.</t>
  </si>
  <si>
    <t>id_abilità_specifica</t>
  </si>
  <si>
    <t>id_abilità</t>
  </si>
  <si>
    <t>id_abilità_specifiche</t>
  </si>
  <si>
    <t>id_competenze</t>
  </si>
</sst>
</file>

<file path=xl/styles.xml><?xml version="1.0" encoding="utf-8"?>
<styleSheet xmlns="http://schemas.openxmlformats.org/spreadsheetml/2006/main" xmlns:x14ac="http://schemas.microsoft.com/office/spreadsheetml/2009/9/ac" xmlns:mc="http://schemas.openxmlformats.org/markup-compatibility/2006">
  <fonts count="5">
    <font>
      <sz val="10.0"/>
      <color rgb="FF000000"/>
      <name val="Arial"/>
      <scheme val="minor"/>
    </font>
    <font>
      <color theme="1"/>
      <name val="Arial"/>
      <scheme val="minor"/>
    </font>
    <font>
      <b/>
      <color theme="1"/>
      <name val="Arial"/>
      <scheme val="minor"/>
    </font>
    <font>
      <b/>
      <color theme="1"/>
      <name val="&quot;Google Sans Text&quot;"/>
    </font>
    <font>
      <color rgb="FF1B1C1D"/>
      <name val="&quot;Google Sans Text&quot;"/>
    </font>
  </fonts>
  <fills count="2">
    <fill>
      <patternFill patternType="none"/>
    </fill>
    <fill>
      <patternFill patternType="lightGray"/>
    </fill>
  </fills>
  <borders count="1">
    <border/>
  </borders>
  <cellStyleXfs count="1">
    <xf borderId="0" fillId="0" fontId="0" numFmtId="0" applyAlignment="1" applyFont="1"/>
  </cellStyleXfs>
  <cellXfs count="32">
    <xf borderId="0" fillId="0" fontId="0" numFmtId="0" xfId="0" applyAlignment="1" applyFont="1">
      <alignment readingOrder="0" shrinkToFit="0" vertical="bottom" wrapText="0"/>
    </xf>
    <xf borderId="0" fillId="0" fontId="1" numFmtId="0" xfId="0" applyAlignment="1" applyFont="1">
      <alignment horizontal="left" readingOrder="0" shrinkToFit="0" vertical="center" wrapText="0"/>
    </xf>
    <xf borderId="0" fillId="0" fontId="1" numFmtId="0" xfId="0" applyAlignment="1" applyFont="1">
      <alignment readingOrder="0" shrinkToFit="0" vertical="center" wrapText="0"/>
    </xf>
    <xf borderId="0" fillId="0" fontId="1" numFmtId="49" xfId="0" applyAlignment="1" applyFont="1" applyNumberFormat="1">
      <alignment horizontal="left" readingOrder="0" shrinkToFit="0" vertical="center" wrapText="0"/>
    </xf>
    <xf borderId="0" fillId="0" fontId="1" numFmtId="0" xfId="0" applyAlignment="1" applyFont="1">
      <alignment horizontal="left" readingOrder="0" shrinkToFit="0" vertical="center" wrapText="0"/>
    </xf>
    <xf borderId="0" fillId="0" fontId="1" numFmtId="49" xfId="0" applyAlignment="1" applyFont="1" applyNumberFormat="1">
      <alignment horizontal="left" readingOrder="0" shrinkToFit="0" vertical="center" wrapText="0"/>
    </xf>
    <xf borderId="0" fillId="0" fontId="1" numFmtId="49" xfId="0" applyAlignment="1" applyFont="1" applyNumberFormat="1">
      <alignment horizontal="left" readingOrder="0" shrinkToFit="0" vertical="top" wrapText="0"/>
    </xf>
    <xf borderId="0" fillId="0" fontId="1" numFmtId="0" xfId="0" applyAlignment="1" applyFont="1">
      <alignment shrinkToFit="0" vertical="top" wrapText="0"/>
    </xf>
    <xf borderId="0" fillId="0" fontId="1" numFmtId="0" xfId="0" applyAlignment="1" applyFont="1">
      <alignment readingOrder="0" shrinkToFit="0" vertical="top" wrapText="0"/>
    </xf>
    <xf borderId="0" fillId="0" fontId="1" numFmtId="0" xfId="0" applyAlignment="1" applyFont="1">
      <alignment shrinkToFit="0" vertical="top" wrapText="0"/>
    </xf>
    <xf borderId="0" fillId="0" fontId="1" numFmtId="0" xfId="0" applyAlignment="1" applyFont="1">
      <alignment readingOrder="0" shrinkToFit="0" vertical="top" wrapText="0"/>
    </xf>
    <xf borderId="0" fillId="0" fontId="1" numFmtId="0" xfId="0" applyAlignment="1" applyFont="1">
      <alignment readingOrder="0" shrinkToFit="0" vertical="top" wrapText="0"/>
    </xf>
    <xf borderId="0" fillId="0" fontId="2" numFmtId="0" xfId="0" applyAlignment="1" applyFont="1">
      <alignment horizontal="left" readingOrder="0" shrinkToFit="0" vertical="center" wrapText="0"/>
    </xf>
    <xf borderId="0" fillId="0" fontId="2" numFmtId="0" xfId="0" applyAlignment="1" applyFont="1">
      <alignment horizontal="left" readingOrder="0" shrinkToFit="0" vertical="center" wrapText="0"/>
    </xf>
    <xf borderId="0" fillId="0" fontId="1" numFmtId="0" xfId="0" applyAlignment="1" applyFont="1">
      <alignment readingOrder="0" shrinkToFit="0" vertical="center" wrapText="0"/>
    </xf>
    <xf borderId="0" fillId="0" fontId="1" numFmtId="0" xfId="0" applyAlignment="1" applyFont="1">
      <alignment readingOrder="0" shrinkToFit="0" vertical="center" wrapText="0"/>
    </xf>
    <xf borderId="0" fillId="0" fontId="1" numFmtId="0" xfId="0" applyAlignment="1" applyFont="1">
      <alignment shrinkToFit="0" vertical="center" wrapText="0"/>
    </xf>
    <xf borderId="0" fillId="0" fontId="1" numFmtId="0" xfId="0" applyAlignment="1" applyFont="1">
      <alignment shrinkToFit="0" vertical="center" wrapText="0"/>
    </xf>
    <xf borderId="0" fillId="0" fontId="1" numFmtId="0" xfId="0" applyAlignment="1" applyFont="1">
      <alignment shrinkToFit="0" vertical="center" wrapText="1"/>
    </xf>
    <xf borderId="0" fillId="0" fontId="2" numFmtId="49" xfId="0" applyAlignment="1" applyFont="1" applyNumberFormat="1">
      <alignment horizontal="left" readingOrder="0" shrinkToFit="0" vertical="center" wrapText="0"/>
    </xf>
    <xf borderId="0" fillId="0" fontId="2" numFmtId="0" xfId="0" applyAlignment="1" applyFont="1">
      <alignment horizontal="left" readingOrder="0" shrinkToFit="0" vertical="center" wrapText="0"/>
    </xf>
    <xf borderId="0" fillId="0" fontId="1" numFmtId="0" xfId="0" applyAlignment="1" applyFont="1">
      <alignment readingOrder="0" shrinkToFit="0" vertical="center" wrapText="0"/>
    </xf>
    <xf borderId="0" fillId="0" fontId="1" numFmtId="0" xfId="0" applyAlignment="1" applyFont="1">
      <alignment shrinkToFit="0" vertical="center" wrapText="0"/>
    </xf>
    <xf borderId="0" fillId="0" fontId="2" numFmtId="0" xfId="0" applyAlignment="1" applyFont="1">
      <alignment horizontal="left" readingOrder="0" shrinkToFit="0" vertical="center" wrapText="1"/>
    </xf>
    <xf borderId="0" fillId="0" fontId="2" numFmtId="0" xfId="0" applyFont="1"/>
    <xf borderId="0" fillId="0" fontId="1" numFmtId="0" xfId="0" applyAlignment="1" applyFont="1">
      <alignment readingOrder="0" shrinkToFit="0" vertical="center" wrapText="1"/>
    </xf>
    <xf borderId="0" fillId="0" fontId="1" numFmtId="0" xfId="0" applyAlignment="1" applyFont="1">
      <alignment shrinkToFit="0" wrapText="1"/>
    </xf>
    <xf borderId="0" fillId="0" fontId="1" numFmtId="0" xfId="0" applyAlignment="1" applyFont="1">
      <alignment readingOrder="0" shrinkToFit="0" vertical="center" wrapText="0"/>
    </xf>
    <xf borderId="0" fillId="0" fontId="1" numFmtId="0" xfId="0" applyAlignment="1" applyFont="1">
      <alignment shrinkToFit="0" vertical="center" wrapText="0"/>
    </xf>
    <xf borderId="0" fillId="0" fontId="1" numFmtId="0" xfId="0" applyAlignment="1" applyFont="1">
      <alignment readingOrder="0" shrinkToFit="0" vertical="center" wrapText="1"/>
    </xf>
    <xf borderId="0" fillId="0" fontId="3" numFmtId="0" xfId="0" applyAlignment="1" applyFont="1">
      <alignment horizontal="left" readingOrder="0" shrinkToFit="0" vertical="center" wrapText="0"/>
    </xf>
    <xf borderId="0" fillId="0" fontId="4" numFmtId="0" xfId="0" applyAlignment="1" applyFont="1">
      <alignment readingOrder="0" shrinkToFit="0" vertical="center" wrapText="0"/>
    </xf>
  </cellXfs>
  <cellStyles count="1">
    <cellStyle xfId="0" name="Normal" builtinId="0"/>
  </cellStyles>
  <dxfs count="5">
    <dxf>
      <font/>
      <fill>
        <patternFill patternType="none"/>
      </fill>
      <border/>
    </dxf>
    <dxf>
      <font/>
      <fill>
        <patternFill patternType="solid">
          <fgColor rgb="FF356854"/>
          <bgColor rgb="FF356854"/>
        </patternFill>
      </fill>
      <border/>
    </dxf>
    <dxf>
      <font/>
      <fill>
        <patternFill patternType="solid">
          <fgColor rgb="FFFFFFFF"/>
          <bgColor rgb="FFFFFFFF"/>
        </patternFill>
      </fill>
      <border/>
    </dxf>
    <dxf>
      <font/>
      <fill>
        <patternFill patternType="solid">
          <fgColor rgb="FFF6F8F9"/>
          <bgColor rgb="FFF6F8F9"/>
        </patternFill>
      </fill>
      <border/>
    </dxf>
    <dxf>
      <border>
        <left style="thin">
          <color rgb="FF356854"/>
        </left>
        <right style="thin">
          <color rgb="FF356854"/>
        </right>
        <top style="thin">
          <color rgb="FF356854"/>
        </top>
        <bottom style="thin">
          <color rgb="FF356854"/>
        </bottom>
      </border>
    </dxf>
  </dxfs>
  <tableStyles count="17">
    <tableStyle count="4" pivot="0" name="templates-style">
      <tableStyleElement dxfId="1" type="headerRow"/>
      <tableStyleElement dxfId="2" type="firstRowStripe"/>
      <tableStyleElement dxfId="3" type="secondRowStripe"/>
      <tableStyleElement dxfId="4" size="0" type="wholeTable"/>
    </tableStyle>
    <tableStyle count="4" pivot="0" name="programmazioni-style">
      <tableStyleElement dxfId="1" type="headerRow"/>
      <tableStyleElement dxfId="2" type="firstRowStripe"/>
      <tableStyleElement dxfId="3" type="secondRowStripe"/>
      <tableStyleElement dxfId="4" size="0" type="wholeTable"/>
    </tableStyle>
    <tableStyle count="4" pivot="0" name="parametri_elenchi-style">
      <tableStyleElement dxfId="1" type="headerRow"/>
      <tableStyleElement dxfId="2" type="firstRowStripe"/>
      <tableStyleElement dxfId="3" type="secondRowStripe"/>
      <tableStyleElement dxfId="4" size="0" type="wholeTable"/>
    </tableStyle>
    <tableStyle count="4" pivot="0" name="periodo-style">
      <tableStyleElement dxfId="1" type="headerRow"/>
      <tableStyleElement dxfId="2" type="firstRowStripe"/>
      <tableStyleElement dxfId="3" type="secondRowStripe"/>
      <tableStyleElement dxfId="4" size="0" type="wholeTable"/>
    </tableStyle>
    <tableStyle count="4" pivot="0" name="docenti-style">
      <tableStyleElement dxfId="1" type="headerRow"/>
      <tableStyleElement dxfId="2" type="firstRowStripe"/>
      <tableStyleElement dxfId="3" type="secondRowStripe"/>
      <tableStyleElement dxfId="4" size="0" type="wholeTable"/>
    </tableStyle>
    <tableStyle count="4" pivot="0" name="manuali-style">
      <tableStyleElement dxfId="1" type="headerRow"/>
      <tableStyleElement dxfId="2" type="firstRowStripe"/>
      <tableStyleElement dxfId="3" type="secondRowStripe"/>
      <tableStyleElement dxfId="4" size="0" type="wholeTable"/>
    </tableStyle>
    <tableStyle count="4" pivot="0" name="discipline-style">
      <tableStyleElement dxfId="1" type="headerRow"/>
      <tableStyleElement dxfId="2" type="firstRowStripe"/>
      <tableStyleElement dxfId="3" type="secondRowStripe"/>
      <tableStyleElement dxfId="4" size="0" type="wholeTable"/>
    </tableStyle>
    <tableStyle count="4" pivot="0" name="uda-style">
      <tableStyleElement dxfId="1" type="headerRow"/>
      <tableStyleElement dxfId="2" type="firstRowStripe"/>
      <tableStyleElement dxfId="3" type="secondRowStripe"/>
      <tableStyleElement dxfId="4" size="0" type="wholeTable"/>
    </tableStyle>
    <tableStyle count="4" pivot="0" name="moduli-style">
      <tableStyleElement dxfId="1" type="headerRow"/>
      <tableStyleElement dxfId="2" type="firstRowStripe"/>
      <tableStyleElement dxfId="3" type="secondRowStripe"/>
      <tableStyleElement dxfId="4" size="0" type="wholeTable"/>
    </tableStyle>
    <tableStyle count="4" pivot="0" name="ud-style">
      <tableStyleElement dxfId="1" type="headerRow"/>
      <tableStyleElement dxfId="2" type="firstRowStripe"/>
      <tableStyleElement dxfId="3" type="secondRowStripe"/>
      <tableStyleElement dxfId="4" size="0" type="wholeTable"/>
    </tableStyle>
    <tableStyle count="4" pivot="0" name="conoscenze-style">
      <tableStyleElement dxfId="1" type="headerRow"/>
      <tableStyleElement dxfId="2" type="firstRowStripe"/>
      <tableStyleElement dxfId="3" type="secondRowStripe"/>
      <tableStyleElement dxfId="4" size="0" type="wholeTable"/>
    </tableStyle>
    <tableStyle count="4" pivot="0" name="abilità-style">
      <tableStyleElement dxfId="1" type="headerRow"/>
      <tableStyleElement dxfId="2" type="firstRowStripe"/>
      <tableStyleElement dxfId="3" type="secondRowStripe"/>
      <tableStyleElement dxfId="4" size="0" type="wholeTable"/>
    </tableStyle>
    <tableStyle count="4" pivot="0" name="competenze-style">
      <tableStyleElement dxfId="1" type="headerRow"/>
      <tableStyleElement dxfId="2" type="firstRowStripe"/>
      <tableStyleElement dxfId="3" type="secondRowStripe"/>
      <tableStyleElement dxfId="4" size="0" type="wholeTable"/>
    </tableStyle>
    <tableStyle count="4" pivot="0" name="abilità_specifiche-style">
      <tableStyleElement dxfId="1" type="headerRow"/>
      <tableStyleElement dxfId="2" type="firstRowStripe"/>
      <tableStyleElement dxfId="3" type="secondRowStripe"/>
      <tableStyleElement dxfId="4" size="0" type="wholeTable"/>
    </tableStyle>
    <tableStyle count="4" pivot="0" name="abilità_TO_abilità_specifiche-style">
      <tableStyleElement dxfId="1" type="headerRow"/>
      <tableStyleElement dxfId="2" type="firstRowStripe"/>
      <tableStyleElement dxfId="3" type="secondRowStripe"/>
      <tableStyleElement dxfId="4" size="0" type="wholeTable"/>
    </tableStyle>
    <tableStyle count="4" pivot="0" name="abilità_specifiche_TO_modulo-style">
      <tableStyleElement dxfId="1" type="headerRow"/>
      <tableStyleElement dxfId="2" type="firstRowStripe"/>
      <tableStyleElement dxfId="3" type="secondRowStripe"/>
      <tableStyleElement dxfId="4" size="0" type="wholeTable"/>
    </tableStyle>
    <tableStyle count="4" pivot="0" name="competenze_TO_modulo-style">
      <tableStyleElement dxfId="1" type="headerRow"/>
      <tableStyleElement dxfId="2" type="firstRowStripe"/>
      <tableStyleElement dxfId="3" type="secondRowStripe"/>
      <tableStyleElement dxfId="4" size="0" type="wholeTable"/>
    </tableStyle>
  </tableStyles>
</styleSheet>
</file>

<file path=xl/_rels/workbook.xml.rels><?xml version="1.0" encoding="UTF-8" standalone="yes"?><Relationships xmlns="http://schemas.openxmlformats.org/package/2006/relationships"><Relationship Id="rId20" Type="http://schemas.openxmlformats.org/officeDocument/2006/relationships/worksheet" Target="worksheets/sheet17.xml"/><Relationship Id="rId11" Type="http://schemas.openxmlformats.org/officeDocument/2006/relationships/worksheet" Target="worksheets/sheet8.xml"/><Relationship Id="rId10" Type="http://schemas.openxmlformats.org/officeDocument/2006/relationships/worksheet" Target="worksheets/sheet7.xml"/><Relationship Id="rId13" Type="http://schemas.openxmlformats.org/officeDocument/2006/relationships/worksheet" Target="worksheets/sheet10.xml"/><Relationship Id="rId12" Type="http://schemas.openxmlformats.org/officeDocument/2006/relationships/worksheet" Target="worksheets/sheet9.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schemas.openxmlformats.org/officeDocument/2006/relationships/worksheet" Target="worksheets/sheet6.xml"/><Relationship Id="rId15" Type="http://schemas.openxmlformats.org/officeDocument/2006/relationships/worksheet" Target="worksheets/sheet12.xml"/><Relationship Id="rId14" Type="http://schemas.openxmlformats.org/officeDocument/2006/relationships/worksheet" Target="worksheets/sheet11.xml"/><Relationship Id="rId17" Type="http://schemas.openxmlformats.org/officeDocument/2006/relationships/worksheet" Target="worksheets/sheet14.xml"/><Relationship Id="rId16" Type="http://schemas.openxmlformats.org/officeDocument/2006/relationships/worksheet" Target="worksheets/sheet13.xml"/><Relationship Id="rId5" Type="http://schemas.openxmlformats.org/officeDocument/2006/relationships/worksheet" Target="worksheets/sheet2.xml"/><Relationship Id="rId19" Type="http://schemas.openxmlformats.org/officeDocument/2006/relationships/worksheet" Target="worksheets/sheet16.xml"/><Relationship Id="rId6" Type="http://schemas.openxmlformats.org/officeDocument/2006/relationships/worksheet" Target="worksheets/sheet3.xml"/><Relationship Id="rId18" Type="http://schemas.openxmlformats.org/officeDocument/2006/relationships/worksheet" Target="worksheets/sheet15.xml"/><Relationship Id="rId7" Type="http://schemas.openxmlformats.org/officeDocument/2006/relationships/worksheet" Target="worksheets/sheet4.xml"/><Relationship Id="rId8" Type="http://schemas.openxmlformats.org/officeDocument/2006/relationships/worksheet" Target="worksheets/shee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ables/table1.xml><?xml version="1.0" encoding="utf-8"?>
<table xmlns="http://schemas.openxmlformats.org/spreadsheetml/2006/main" ref="A1:C4" displayName="templates" name="templates" id="1">
  <tableColumns count="3">
    <tableColumn name="id" id="1"/>
    <tableColumn name="chiave" id="2"/>
    <tableColumn name="valore" id="3"/>
  </tableColumns>
  <tableStyleInfo name="templates-style" showColumnStripes="0" showFirstColumn="1" showLastColumn="1" showRowStripes="1"/>
</table>
</file>

<file path=xl/tables/table2.xml><?xml version="1.0" encoding="utf-8"?>
<table xmlns="http://schemas.openxmlformats.org/spreadsheetml/2006/main" ref="A1:N7" displayName="programmazioni" name="programmazioni" id="2">
  <tableColumns count="14">
    <tableColumn name="id" id="1"/>
    <tableColumn name="data" id="2"/>
    <tableColumn name="anno_scolastico" id="3"/>
    <tableColumn name="classe" id="4"/>
    <tableColumn name="corso" id="5"/>
    <tableColumn name="disciplina" id="6"/>
    <tableColumn name="alias_disciplina" id="7"/>
    <tableColumn name="id_docenti" id="8"/>
    <tableColumn name="id_manuali" id="9"/>
    <tableColumn name="situazione_classe" id="10"/>
    <tableColumn name="annualità" id="11"/>
    <tableColumn name="ore_teoria" id="12"/>
    <tableColumn name="ore_laboratorio" id="13"/>
    <tableColumn name="attività_extrcurriculari" id="14"/>
  </tableColumns>
  <tableStyleInfo name="programmazioni-style" showColumnStripes="0" showFirstColumn="1" showLastColumn="1" showRowStripes="1"/>
</table>
</file>

<file path=xl/tables/table3.xml><?xml version="1.0" encoding="utf-8"?>
<table xmlns="http://schemas.openxmlformats.org/spreadsheetml/2006/main" ref="A1:E67" displayName="parametri_elenchi" name="parametri_elenchi" id="3">
  <tableColumns count="5">
    <tableColumn name="id" id="1"/>
    <tableColumn name="chiave" id="2"/>
    <tableColumn name="valore" id="3"/>
    <tableColumn name="voce_elenco" id="4"/>
    <tableColumn name="flag" id="5"/>
  </tableColumns>
  <tableStyleInfo name="parametri_elenchi-style" showColumnStripes="0" showFirstColumn="1" showLastColumn="1" showRowStripes="1"/>
</table>
</file>

<file path=xl/tables/table4.xml><?xml version="1.0" encoding="utf-8"?>
<table xmlns="http://schemas.openxmlformats.org/spreadsheetml/2006/main" ref="A1:B3" displayName="periodo" name="periodo" id="4">
  <tableColumns count="2">
    <tableColumn name="id" id="1"/>
    <tableColumn name="nome" id="2"/>
  </tableColumns>
  <tableStyleInfo name="periodo-style" showColumnStripes="0" showFirstColumn="1" showLastColumn="1" showRowStripes="1"/>
</table>
</file>

<file path=xl/tables/table5.xml><?xml version="1.0" encoding="utf-8"?>
<table xmlns="http://schemas.openxmlformats.org/spreadsheetml/2006/main" ref="A1:B3" displayName="docenti" name="docenti" id="5">
  <tableColumns count="2">
    <tableColumn name="id" id="1"/>
    <tableColumn name="elenco" id="2"/>
  </tableColumns>
  <tableStyleInfo name="docenti-style" showColumnStripes="0" showFirstColumn="1" showLastColumn="1" showRowStripes="1"/>
</table>
</file>

<file path=xl/tables/table6.xml><?xml version="1.0" encoding="utf-8"?>
<table xmlns="http://schemas.openxmlformats.org/spreadsheetml/2006/main" ref="A1:D3" displayName="manuali" name="manuali" id="6">
  <tableColumns count="4">
    <tableColumn name="id" id="1"/>
    <tableColumn name="manuale" id="2"/>
    <tableColumn name="anno" id="3"/>
    <tableColumn name="disciplina" id="4"/>
  </tableColumns>
  <tableStyleInfo name="manuali-style" showColumnStripes="0" showFirstColumn="1" showLastColumn="1" showRowStripes="1"/>
</table>
</file>

<file path=xl/tables/table7.xml><?xml version="1.0" encoding="utf-8"?>
<table xmlns="http://schemas.openxmlformats.org/spreadsheetml/2006/main" ref="A1:D5" displayName="discipline" name="discipline" id="7">
  <tableColumns count="4">
    <tableColumn name="id" id="1"/>
    <tableColumn name="nome" id="2"/>
    <tableColumn name="alias" id="3"/>
    <tableColumn name="finalità" id="4"/>
  </tableColumns>
  <tableStyleInfo name="discipline-style" showColumnStripes="0" showFirstColumn="1" showLastColumn="1" showRowStripes="1"/>
</table>
</file>

<file path=xl/tables/table8.xml><?xml version="1.0" encoding="utf-8"?>
<table xmlns="http://schemas.openxmlformats.org/spreadsheetml/2006/main" ref="A1:D3" displayName="uda" name="uda" id="8">
  <tableColumns count="4">
    <tableColumn name="id" id="1"/>
    <tableColumn name="titolo" id="2"/>
    <tableColumn name="id_discipline" id="3"/>
    <tableColumn name="alias_discipline" id="4"/>
  </tableColumns>
  <tableStyleInfo name="uda-style" showColumnStripes="0" showFirstColumn="1" showLastColumn="1" showRowStripes="1"/>
</table>
</file>

<file path=xl/tables/table9.xml><?xml version="1.0" encoding="utf-8"?>
<table xmlns="http://schemas.openxmlformats.org/spreadsheetml/2006/main" ref="A1:E6" displayName="moduli" name="moduli" id="9">
  <tableColumns count="5">
    <tableColumn name="id" id="1"/>
    <tableColumn name="titolo" id="2"/>
    <tableColumn name="id_uda" id="3"/>
    <tableColumn name="titolo_uda" id="4"/>
    <tableColumn name="realizza" id="5"/>
  </tableColumns>
  <tableStyleInfo name="moduli-style" showColumnStripes="0" showFirstColumn="1" showLastColumn="1" showRowStripes="1"/>
</table>
</file>

<file path=xl/tables/table10.xml><?xml version="1.0" encoding="utf-8"?>
<table xmlns="http://schemas.openxmlformats.org/spreadsheetml/2006/main" ref="A1:G19" displayName="ud" name="ud" id="10">
  <tableColumns count="7">
    <tableColumn name="id" id="1"/>
    <tableColumn name="ordinale" id="2"/>
    <tableColumn name="titolo" id="3"/>
    <tableColumn name="id_modulo" id="4"/>
    <tableColumn name="titolo_modulo" id="5"/>
    <tableColumn name="titolo_uda" id="6"/>
    <tableColumn name="titolo_disciplina" id="7"/>
  </tableColumns>
  <tableStyleInfo name="ud-style" showColumnStripes="0" showFirstColumn="1" showLastColumn="1" showRowStripes="1"/>
</table>
</file>

<file path=xl/tables/table11.xml><?xml version="1.0" encoding="utf-8"?>
<table xmlns="http://schemas.openxmlformats.org/spreadsheetml/2006/main" ref="A1:D21" displayName="conoscenze" name="conoscenze" id="11">
  <tableColumns count="4">
    <tableColumn name="id" id="1"/>
    <tableColumn name="titolo" id="2"/>
    <tableColumn name="id_ud" id="3"/>
    <tableColumn name="id_disciplina" id="4"/>
  </tableColumns>
  <tableStyleInfo name="conoscenze-style" showColumnStripes="0" showFirstColumn="1" showLastColumn="1" showRowStripes="1"/>
</table>
</file>

<file path=xl/tables/table12.xml><?xml version="1.0" encoding="utf-8"?>
<table xmlns="http://schemas.openxmlformats.org/spreadsheetml/2006/main" ref="A1:F19" displayName="abilità" name="abilità" id="12">
  <tableColumns count="6">
    <tableColumn name="id" id="1"/>
    <tableColumn name="id_periodo" id="2"/>
    <tableColumn name="titolo" id="3"/>
    <tableColumn name="id_discipline" id="4"/>
    <tableColumn name="fonte" id="5"/>
    <tableColumn name="tipo" id="6"/>
  </tableColumns>
  <tableStyleInfo name="abilità-style" showColumnStripes="0" showFirstColumn="1" showLastColumn="1" showRowStripes="1"/>
</table>
</file>

<file path=xl/tables/table13.xml><?xml version="1.0" encoding="utf-8"?>
<table xmlns="http://schemas.openxmlformats.org/spreadsheetml/2006/main" ref="A1:H26" displayName="competenze" name="competenze" id="13">
  <tableColumns count="8">
    <tableColumn name="id" id="1"/>
    <tableColumn name="alias" id="2"/>
    <tableColumn name="ordinale" id="3"/>
    <tableColumn name="nome" id="4"/>
    <tableColumn name="tipo" id="5"/>
    <tableColumn name="id_periodo" id="6"/>
    <tableColumn name="id_discipline" id="7"/>
    <tableColumn name="codice" id="8"/>
  </tableColumns>
  <tableStyleInfo name="competenze-style" showColumnStripes="0" showFirstColumn="1" showLastColumn="1" showRowStripes="1"/>
</table>
</file>

<file path=xl/tables/table14.xml><?xml version="1.0" encoding="utf-8"?>
<table xmlns="http://schemas.openxmlformats.org/spreadsheetml/2006/main" ref="A1:D32" displayName="abilità_specifiche" name="abilità_specifiche" id="14">
  <tableColumns count="4">
    <tableColumn name="id" id="1"/>
    <tableColumn name="titolo" id="2"/>
    <tableColumn name="tipo" id="3"/>
    <tableColumn name="realizza" id="4"/>
  </tableColumns>
  <tableStyleInfo name="abilità_specifiche-style" showColumnStripes="0" showFirstColumn="1" showLastColumn="1" showRowStripes="1"/>
</table>
</file>

<file path=xl/tables/table15.xml><?xml version="1.0" encoding="utf-8"?>
<table xmlns="http://schemas.openxmlformats.org/spreadsheetml/2006/main" ref="A1:B52" displayName="abilità_TO_abilità_specifiche" name="abilità_TO_abilità_specifiche" id="15">
  <tableColumns count="2">
    <tableColumn name="id_abilità_specifica" id="1"/>
    <tableColumn name="id_abilità" id="2"/>
  </tableColumns>
  <tableStyleInfo name="abilità_TO_abilità_specifiche-style" showColumnStripes="0" showFirstColumn="1" showLastColumn="1" showRowStripes="1"/>
</table>
</file>

<file path=xl/tables/table16.xml><?xml version="1.0" encoding="utf-8"?>
<table xmlns="http://schemas.openxmlformats.org/spreadsheetml/2006/main" ref="A1:B7" displayName="abilità_specifiche_TO_modulo" name="abilità_specifiche_TO_modulo" id="16">
  <tableColumns count="2">
    <tableColumn name="id_abilità_specifiche" id="1"/>
    <tableColumn name="id_modulo" id="2"/>
  </tableColumns>
  <tableStyleInfo name="abilità_specifiche_TO_modulo-style" showColumnStripes="0" showFirstColumn="1" showLastColumn="1" showRowStripes="1"/>
</table>
</file>

<file path=xl/tables/table17.xml><?xml version="1.0" encoding="utf-8"?>
<table xmlns="http://schemas.openxmlformats.org/spreadsheetml/2006/main" ref="A1:B10" displayName="competenze_TO_modulo" name="competenze_TO_modulo" id="17">
  <tableColumns count="2">
    <tableColumn name="id_modulo" id="1"/>
    <tableColumn name="id_competenze" id="2"/>
  </tableColumns>
  <tableStyleInfo name="competenze_TO_modulo-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 Id="rId3"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 Id="rId3"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 Id="rId3" Type="http://schemas.openxmlformats.org/officeDocument/2006/relationships/table" Target="../tables/table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 Id="rId3" Type="http://schemas.openxmlformats.org/officeDocument/2006/relationships/table" Target="../tables/table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 Id="rId3" Type="http://schemas.openxmlformats.org/officeDocument/2006/relationships/table" Target="../tables/table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 Id="rId3" Type="http://schemas.openxmlformats.org/officeDocument/2006/relationships/table" Target="../tables/table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 Id="rId3" Type="http://schemas.openxmlformats.org/officeDocument/2006/relationships/table" Target="../tables/table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 Id="rId3" Type="http://schemas.openxmlformats.org/officeDocument/2006/relationships/table" Target="../tables/table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 Id="rId3" Type="http://schemas.openxmlformats.org/officeDocument/2006/relationships/table" Target="../tables/table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 Id="rId3" Type="http://schemas.openxmlformats.org/officeDocument/2006/relationships/table" Target="../tables/table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 Id="rId3" Type="http://schemas.openxmlformats.org/officeDocument/2006/relationships/table" Target="../tables/table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 Id="rId3" Type="http://schemas.openxmlformats.org/officeDocument/2006/relationships/table" Target="../tables/table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 Id="rId3" Type="http://schemas.openxmlformats.org/officeDocument/2006/relationships/table" Target="../tables/table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 Id="rId3" Type="http://schemas.openxmlformats.org/officeDocument/2006/relationships/table" Target="../tables/table14.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 Id="rId3" Type="http://schemas.openxmlformats.org/officeDocument/2006/relationships/table" Target="../tables/table15.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 Id="rId3" Type="http://schemas.openxmlformats.org/officeDocument/2006/relationships/table" Target="../tables/table16.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7.xml"/><Relationship Id="rId3" Type="http://schemas.openxmlformats.org/officeDocument/2006/relationships/table" Target="../tables/table17.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2" max="2" width="18.0"/>
    <col customWidth="1" min="3" max="3" width="45.0"/>
  </cols>
  <sheetData>
    <row r="1" ht="22.5" customHeight="1">
      <c r="A1" s="1" t="s">
        <v>0</v>
      </c>
      <c r="B1" s="1" t="s">
        <v>1</v>
      </c>
      <c r="C1" s="1" t="s">
        <v>2</v>
      </c>
    </row>
    <row r="2" ht="22.5" customHeight="1">
      <c r="A2" s="2">
        <v>1.0</v>
      </c>
      <c r="B2" s="2" t="s">
        <v>3</v>
      </c>
      <c r="C2" s="2" t="s">
        <v>4</v>
      </c>
    </row>
    <row r="3" ht="22.5" customHeight="1">
      <c r="A3" s="2">
        <v>2.0</v>
      </c>
      <c r="B3" s="2" t="s">
        <v>5</v>
      </c>
      <c r="C3" s="2" t="s">
        <v>6</v>
      </c>
    </row>
    <row r="4" ht="22.5" customHeight="1">
      <c r="A4" s="2">
        <v>3.0</v>
      </c>
      <c r="B4" s="2" t="s">
        <v>7</v>
      </c>
      <c r="C4" s="2" t="s">
        <v>8</v>
      </c>
    </row>
  </sheetData>
  <drawing r:id="rId1"/>
  <tableParts count="1">
    <tablePart r:id="rId3"/>
  </tableParts>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7.0"/>
    <col customWidth="1" min="2" max="3" width="10.25"/>
    <col customWidth="1" min="4" max="4" width="3.63"/>
    <col customWidth="1" min="5" max="5" width="4.5"/>
    <col customWidth="1" min="6" max="6" width="3.75"/>
    <col customWidth="1" min="7" max="7" width="8.88"/>
    <col customWidth="1" min="8" max="8" width="4.13"/>
    <col customWidth="1" min="9" max="9" width="12.88"/>
    <col customWidth="1" min="10" max="10" width="25.5"/>
    <col customWidth="1" min="11" max="11" width="12.25"/>
    <col customWidth="1" min="12" max="12" width="6.38"/>
    <col customWidth="1" min="13" max="14" width="30.75"/>
  </cols>
  <sheetData>
    <row r="1" ht="22.5" customHeight="1">
      <c r="A1" s="1" t="s">
        <v>0</v>
      </c>
      <c r="B1" s="3" t="s">
        <v>9</v>
      </c>
      <c r="C1" s="3" t="s">
        <v>10</v>
      </c>
      <c r="D1" s="1" t="s">
        <v>11</v>
      </c>
      <c r="E1" s="1" t="s">
        <v>12</v>
      </c>
      <c r="F1" s="1" t="s">
        <v>13</v>
      </c>
      <c r="G1" s="1" t="s">
        <v>14</v>
      </c>
      <c r="H1" s="4" t="s">
        <v>15</v>
      </c>
      <c r="I1" s="5" t="s">
        <v>16</v>
      </c>
      <c r="J1" s="4" t="s">
        <v>17</v>
      </c>
      <c r="K1" s="4" t="s">
        <v>18</v>
      </c>
      <c r="L1" s="4" t="s">
        <v>19</v>
      </c>
      <c r="M1" s="4" t="s">
        <v>20</v>
      </c>
      <c r="N1" s="4" t="s">
        <v>21</v>
      </c>
    </row>
    <row r="2" ht="22.5" customHeight="1">
      <c r="A2" s="2">
        <v>1.0</v>
      </c>
      <c r="B2" s="6" t="s">
        <v>22</v>
      </c>
      <c r="C2" s="7" t="s">
        <v>23</v>
      </c>
      <c r="D2" s="8">
        <v>5.0</v>
      </c>
      <c r="E2" s="8" t="s">
        <v>24</v>
      </c>
      <c r="F2" s="8">
        <v>1.0</v>
      </c>
      <c r="G2" s="9" t="str">
        <f>VLOOKUP(F2,discipline[],3)</f>
        <v>Sistemi</v>
      </c>
      <c r="H2" s="10">
        <v>1.0</v>
      </c>
      <c r="I2" s="10">
        <v>1.0</v>
      </c>
      <c r="J2" s="10" t="s">
        <v>25</v>
      </c>
      <c r="K2" s="11" t="str">
        <f>VLOOKUP(IF(D2=5,2,1),periodo[],2)</f>
        <v>ultimo anno</v>
      </c>
      <c r="L2" s="10">
        <v>1.0</v>
      </c>
      <c r="M2" s="10">
        <v>3.0</v>
      </c>
      <c r="N2" s="10" t="s">
        <v>26</v>
      </c>
    </row>
    <row r="3" ht="22.5" customHeight="1">
      <c r="A3" s="2">
        <v>2.0</v>
      </c>
      <c r="B3" s="6" t="s">
        <v>22</v>
      </c>
      <c r="C3" s="7" t="s">
        <v>23</v>
      </c>
      <c r="D3" s="8">
        <v>5.0</v>
      </c>
      <c r="E3" s="8" t="s">
        <v>27</v>
      </c>
      <c r="F3" s="8">
        <v>1.0</v>
      </c>
      <c r="G3" s="9" t="str">
        <f>VLOOKUP(F3,discipline[],3)</f>
        <v>Sistemi</v>
      </c>
      <c r="H3" s="10">
        <v>1.0</v>
      </c>
      <c r="I3" s="11"/>
      <c r="J3" s="11"/>
      <c r="K3" s="11" t="str">
        <f>VLOOKUP(IF(D3=5,2,1),periodo[],2)</f>
        <v>ultimo anno</v>
      </c>
      <c r="L3" s="10">
        <v>1.0</v>
      </c>
      <c r="M3" s="10">
        <v>3.0</v>
      </c>
      <c r="N3" s="10" t="s">
        <v>26</v>
      </c>
    </row>
    <row r="4" ht="22.5" customHeight="1">
      <c r="A4" s="2">
        <v>3.0</v>
      </c>
      <c r="B4" s="6" t="s">
        <v>22</v>
      </c>
      <c r="C4" s="7" t="s">
        <v>23</v>
      </c>
      <c r="D4" s="8">
        <v>5.0</v>
      </c>
      <c r="E4" s="8" t="s">
        <v>24</v>
      </c>
      <c r="F4" s="8">
        <v>2.0</v>
      </c>
      <c r="G4" s="9" t="str">
        <f>VLOOKUP(F4,discipline[],3)</f>
        <v>TeP</v>
      </c>
      <c r="H4" s="10">
        <v>1.0</v>
      </c>
      <c r="I4" s="11"/>
      <c r="J4" s="11"/>
      <c r="K4" s="11" t="str">
        <f>VLOOKUP(IF(D4=5,2,1),periodo[],2)</f>
        <v>ultimo anno</v>
      </c>
      <c r="L4" s="10">
        <v>1.0</v>
      </c>
      <c r="M4" s="10">
        <v>2.0</v>
      </c>
      <c r="N4" s="10" t="s">
        <v>26</v>
      </c>
    </row>
    <row r="5" ht="22.5" customHeight="1">
      <c r="A5" s="2">
        <v>4.0</v>
      </c>
      <c r="B5" s="6" t="s">
        <v>22</v>
      </c>
      <c r="C5" s="7" t="s">
        <v>23</v>
      </c>
      <c r="D5" s="8">
        <v>5.0</v>
      </c>
      <c r="E5" s="8" t="s">
        <v>27</v>
      </c>
      <c r="F5" s="8">
        <v>2.0</v>
      </c>
      <c r="G5" s="9" t="str">
        <f>VLOOKUP(F5,discipline[],3)</f>
        <v>TeP</v>
      </c>
      <c r="H5" s="10">
        <v>2.0</v>
      </c>
      <c r="I5" s="11"/>
      <c r="J5" s="11"/>
      <c r="K5" s="11" t="str">
        <f>VLOOKUP(IF(D5=5,2,1),periodo[],2)</f>
        <v>ultimo anno</v>
      </c>
      <c r="L5" s="10">
        <v>1.0</v>
      </c>
      <c r="M5" s="10">
        <v>2.0</v>
      </c>
      <c r="N5" s="10" t="s">
        <v>26</v>
      </c>
    </row>
    <row r="6" ht="22.5" customHeight="1">
      <c r="A6" s="2">
        <v>5.0</v>
      </c>
      <c r="B6" s="6" t="s">
        <v>22</v>
      </c>
      <c r="C6" s="7" t="s">
        <v>23</v>
      </c>
      <c r="D6" s="8">
        <v>5.0</v>
      </c>
      <c r="E6" s="8" t="s">
        <v>24</v>
      </c>
      <c r="F6" s="8">
        <v>3.0</v>
      </c>
      <c r="G6" s="9" t="str">
        <f>VLOOKUP(F6,discipline[],3)</f>
        <v>IA</v>
      </c>
      <c r="H6" s="10">
        <v>1.0</v>
      </c>
      <c r="I6" s="11"/>
      <c r="J6" s="11"/>
      <c r="K6" s="11" t="str">
        <f>VLOOKUP(IF(D6=5,2,1),periodo[],2)</f>
        <v>ultimo anno</v>
      </c>
      <c r="L6" s="10">
        <v>1.0</v>
      </c>
      <c r="M6" s="10">
        <v>1.0</v>
      </c>
      <c r="N6" s="10" t="s">
        <v>26</v>
      </c>
    </row>
    <row r="7" ht="22.5" customHeight="1">
      <c r="A7" s="2">
        <v>6.0</v>
      </c>
      <c r="B7" s="6" t="s">
        <v>22</v>
      </c>
      <c r="C7" s="7" t="s">
        <v>23</v>
      </c>
      <c r="D7" s="8">
        <v>5.0</v>
      </c>
      <c r="E7" s="8" t="s">
        <v>27</v>
      </c>
      <c r="F7" s="8">
        <v>3.0</v>
      </c>
      <c r="G7" s="9" t="str">
        <f>VLOOKUP(F7,discipline[],3)</f>
        <v>IA</v>
      </c>
      <c r="H7" s="10">
        <v>1.0</v>
      </c>
      <c r="I7" s="11"/>
      <c r="J7" s="11"/>
      <c r="K7" s="11" t="str">
        <f>VLOOKUP(IF(D7=5,2,1),periodo[],2)</f>
        <v>ultimo anno</v>
      </c>
      <c r="L7" s="10">
        <v>1.0</v>
      </c>
      <c r="M7" s="10">
        <v>1.0</v>
      </c>
      <c r="N7" s="10" t="s">
        <v>26</v>
      </c>
    </row>
  </sheetData>
  <drawing r:id="rId1"/>
  <tableParts count="1">
    <tablePart r:id="rId3"/>
  </tableParts>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2" max="2" width="10.75"/>
    <col customWidth="1" min="3" max="3" width="40.38"/>
    <col customWidth="1" min="4" max="4" width="23.38"/>
  </cols>
  <sheetData>
    <row r="1" ht="22.5" customHeight="1">
      <c r="A1" s="12" t="s">
        <v>0</v>
      </c>
      <c r="B1" s="12" t="s">
        <v>1</v>
      </c>
      <c r="C1" s="12" t="s">
        <v>2</v>
      </c>
      <c r="D1" s="13" t="s">
        <v>28</v>
      </c>
      <c r="E1" s="13" t="s">
        <v>29</v>
      </c>
    </row>
    <row r="2" ht="22.5" customHeight="1">
      <c r="A2" s="2">
        <v>47.0</v>
      </c>
      <c r="B2" s="2" t="s">
        <v>30</v>
      </c>
      <c r="C2" s="2" t="str">
        <f t="shared" ref="C2:C67" si="1">concat(IF(E2,"🗹 ","☐ "),D2)</f>
        <v>🗹 Lezione Frontale</v>
      </c>
      <c r="D2" s="2" t="s">
        <v>31</v>
      </c>
      <c r="E2" s="14" t="b">
        <v>1</v>
      </c>
    </row>
    <row r="3" ht="22.5" customHeight="1">
      <c r="A3" s="2">
        <v>48.0</v>
      </c>
      <c r="B3" s="2" t="s">
        <v>32</v>
      </c>
      <c r="C3" s="2" t="str">
        <f t="shared" si="1"/>
        <v>🗹 Lezione Dialogata</v>
      </c>
      <c r="D3" s="2" t="s">
        <v>33</v>
      </c>
      <c r="E3" s="14" t="b">
        <v>1</v>
      </c>
    </row>
    <row r="4" ht="22.5" customHeight="1">
      <c r="A4" s="2">
        <v>49.0</v>
      </c>
      <c r="B4" s="2" t="s">
        <v>34</v>
      </c>
      <c r="C4" s="2" t="str">
        <f t="shared" si="1"/>
        <v>🗹 Problem Solving</v>
      </c>
      <c r="D4" s="2" t="s">
        <v>35</v>
      </c>
      <c r="E4" s="14" t="b">
        <v>1</v>
      </c>
    </row>
    <row r="5" ht="22.5" customHeight="1">
      <c r="A5" s="2">
        <v>50.0</v>
      </c>
      <c r="B5" s="2" t="s">
        <v>36</v>
      </c>
      <c r="C5" s="2" t="str">
        <f t="shared" si="1"/>
        <v>🗹 Cooperative Learning</v>
      </c>
      <c r="D5" s="2" t="s">
        <v>37</v>
      </c>
      <c r="E5" s="14" t="b">
        <v>1</v>
      </c>
    </row>
    <row r="6" ht="22.5" customHeight="1">
      <c r="A6" s="2">
        <v>51.0</v>
      </c>
      <c r="B6" s="2" t="s">
        <v>38</v>
      </c>
      <c r="C6" s="2" t="str">
        <f t="shared" si="1"/>
        <v>☐ Alternanza Scuola-Lavoro</v>
      </c>
      <c r="D6" s="2" t="s">
        <v>39</v>
      </c>
      <c r="E6" s="14" t="b">
        <v>0</v>
      </c>
    </row>
    <row r="7" ht="22.5" customHeight="1">
      <c r="A7" s="2">
        <v>52.0</v>
      </c>
      <c r="B7" s="2" t="s">
        <v>40</v>
      </c>
      <c r="C7" s="2" t="str">
        <f t="shared" si="1"/>
        <v>☐ Didattica Digitale Integrata</v>
      </c>
      <c r="D7" s="2" t="s">
        <v>41</v>
      </c>
      <c r="E7" s="14" t="b">
        <v>0</v>
      </c>
    </row>
    <row r="8" ht="22.5" customHeight="1">
      <c r="A8" s="2">
        <v>53.0</v>
      </c>
      <c r="B8" s="2" t="s">
        <v>42</v>
      </c>
      <c r="C8" s="2" t="str">
        <f t="shared" si="1"/>
        <v>☐ Flipped Classroom</v>
      </c>
      <c r="D8" s="2" t="s">
        <v>43</v>
      </c>
      <c r="E8" s="14" t="b">
        <v>0</v>
      </c>
    </row>
    <row r="9" ht="22.5" customHeight="1">
      <c r="A9" s="2">
        <v>54.0</v>
      </c>
      <c r="B9" s="2" t="s">
        <v>44</v>
      </c>
      <c r="C9" s="2" t="str">
        <f t="shared" si="1"/>
        <v>🗹 Esecuzione di Attività Pratiche</v>
      </c>
      <c r="D9" s="2" t="s">
        <v>45</v>
      </c>
      <c r="E9" s="14" t="b">
        <v>1</v>
      </c>
    </row>
    <row r="10" ht="22.5" customHeight="1">
      <c r="A10" s="2">
        <v>55.0</v>
      </c>
      <c r="B10" s="2" t="s">
        <v>46</v>
      </c>
      <c r="C10" s="2" t="str">
        <f t="shared" si="1"/>
        <v>🗹 Lavoro di Gruppo</v>
      </c>
      <c r="D10" s="2" t="s">
        <v>47</v>
      </c>
      <c r="E10" s="14" t="b">
        <v>1</v>
      </c>
    </row>
    <row r="11" ht="22.5" customHeight="1">
      <c r="A11" s="2">
        <v>56.0</v>
      </c>
      <c r="B11" s="2" t="s">
        <v>48</v>
      </c>
      <c r="C11" s="2" t="str">
        <f t="shared" si="1"/>
        <v>🗹 Casi di Studio</v>
      </c>
      <c r="D11" s="2" t="s">
        <v>49</v>
      </c>
      <c r="E11" s="14" t="b">
        <v>1</v>
      </c>
    </row>
    <row r="12" ht="22.5" customHeight="1">
      <c r="A12" s="2">
        <v>57.0</v>
      </c>
      <c r="B12" s="2" t="s">
        <v>50</v>
      </c>
      <c r="C12" s="2" t="str">
        <f t="shared" si="1"/>
        <v>☐ E-Learning</v>
      </c>
      <c r="D12" s="2" t="s">
        <v>51</v>
      </c>
      <c r="E12" s="14" t="b">
        <v>0</v>
      </c>
    </row>
    <row r="13" ht="22.5" customHeight="1">
      <c r="A13" s="2">
        <v>58.0</v>
      </c>
      <c r="B13" s="2" t="s">
        <v>52</v>
      </c>
      <c r="C13" s="2" t="str">
        <f t="shared" si="1"/>
        <v>🗹 Peer Tutoring</v>
      </c>
      <c r="D13" s="2" t="s">
        <v>53</v>
      </c>
      <c r="E13" s="14" t="b">
        <v>1</v>
      </c>
    </row>
    <row r="14" ht="22.5" customHeight="1">
      <c r="A14" s="2">
        <v>59.0</v>
      </c>
      <c r="B14" s="2" t="s">
        <v>54</v>
      </c>
      <c r="C14" s="2" t="str">
        <f t="shared" si="1"/>
        <v>☐ Jigsaw</v>
      </c>
      <c r="D14" s="2" t="s">
        <v>55</v>
      </c>
      <c r="E14" s="14" t="b">
        <v>0</v>
      </c>
    </row>
    <row r="15" ht="22.5" customHeight="1">
      <c r="A15" s="2">
        <v>60.0</v>
      </c>
      <c r="B15" s="2" t="s">
        <v>56</v>
      </c>
      <c r="C15" s="2" t="str">
        <f t="shared" si="1"/>
        <v>☐ Altro:</v>
      </c>
      <c r="D15" s="2" t="s">
        <v>57</v>
      </c>
      <c r="E15" s="14" t="b">
        <v>0</v>
      </c>
    </row>
    <row r="16" ht="22.5" customHeight="1">
      <c r="A16" s="2">
        <v>61.0</v>
      </c>
      <c r="B16" s="2" t="s">
        <v>58</v>
      </c>
      <c r="C16" s="2" t="str">
        <f t="shared" si="1"/>
        <v>☐ Video lezioni in diretta</v>
      </c>
      <c r="D16" s="2" t="s">
        <v>59</v>
      </c>
      <c r="E16" s="14" t="b">
        <v>0</v>
      </c>
    </row>
    <row r="17" ht="22.5" customHeight="1">
      <c r="A17" s="2">
        <v>62.0</v>
      </c>
      <c r="B17" s="2" t="s">
        <v>60</v>
      </c>
      <c r="C17" s="2" t="str">
        <f t="shared" si="1"/>
        <v>☐ Verifica orale degli apprendimenti</v>
      </c>
      <c r="D17" s="2" t="s">
        <v>61</v>
      </c>
      <c r="E17" s="14" t="b">
        <v>0</v>
      </c>
    </row>
    <row r="18" ht="22.5" customHeight="1">
      <c r="A18" s="2">
        <v>63.0</v>
      </c>
      <c r="B18" s="2" t="s">
        <v>62</v>
      </c>
      <c r="C18" s="2" t="str">
        <f t="shared" si="1"/>
        <v>☐ Consegne  (elaborati digitali, test strutturati, …)</v>
      </c>
      <c r="D18" s="2" t="s">
        <v>63</v>
      </c>
      <c r="E18" s="14" t="b">
        <v>0</v>
      </c>
    </row>
    <row r="19" ht="22.5" customHeight="1">
      <c r="A19" s="2">
        <v>64.0</v>
      </c>
      <c r="B19" s="2" t="s">
        <v>64</v>
      </c>
      <c r="C19" s="2" t="str">
        <f t="shared" si="1"/>
        <v>☐ Lezione Dialogata</v>
      </c>
      <c r="D19" s="2" t="s">
        <v>33</v>
      </c>
      <c r="E19" s="14" t="b">
        <v>0</v>
      </c>
    </row>
    <row r="20" ht="22.5" customHeight="1">
      <c r="A20" s="2">
        <v>65.0</v>
      </c>
      <c r="B20" s="2" t="s">
        <v>65</v>
      </c>
      <c r="C20" s="2" t="str">
        <f t="shared" si="1"/>
        <v>☐ Problem Solving</v>
      </c>
      <c r="D20" s="2" t="s">
        <v>35</v>
      </c>
      <c r="E20" s="14" t="b">
        <v>0</v>
      </c>
    </row>
    <row r="21" ht="22.5" customHeight="1">
      <c r="A21" s="2">
        <v>66.0</v>
      </c>
      <c r="B21" s="2" t="s">
        <v>66</v>
      </c>
      <c r="C21" s="2" t="str">
        <f t="shared" si="1"/>
        <v>☐ Cooperative Learning</v>
      </c>
      <c r="D21" s="2" t="s">
        <v>37</v>
      </c>
      <c r="E21" s="14" t="b">
        <v>0</v>
      </c>
    </row>
    <row r="22" ht="22.5" customHeight="1">
      <c r="A22" s="2">
        <v>67.0</v>
      </c>
      <c r="B22" s="2" t="s">
        <v>67</v>
      </c>
      <c r="C22" s="2" t="str">
        <f t="shared" si="1"/>
        <v>☐ Flipped Classroom</v>
      </c>
      <c r="D22" s="2" t="s">
        <v>43</v>
      </c>
      <c r="E22" s="14" t="b">
        <v>0</v>
      </c>
    </row>
    <row r="23" ht="22.5" customHeight="1">
      <c r="A23" s="2">
        <v>68.0</v>
      </c>
      <c r="B23" s="2" t="s">
        <v>68</v>
      </c>
      <c r="C23" s="2" t="str">
        <f t="shared" si="1"/>
        <v>☐ Attività Pratiche</v>
      </c>
      <c r="D23" s="2" t="s">
        <v>69</v>
      </c>
      <c r="E23" s="14" t="b">
        <v>0</v>
      </c>
    </row>
    <row r="24" ht="22.5" customHeight="1">
      <c r="A24" s="2">
        <v>69.0</v>
      </c>
      <c r="B24" s="2" t="s">
        <v>70</v>
      </c>
      <c r="C24" s="2" t="str">
        <f t="shared" si="1"/>
        <v>☐ E-Learning</v>
      </c>
      <c r="D24" s="2" t="s">
        <v>51</v>
      </c>
      <c r="E24" s="14" t="b">
        <v>0</v>
      </c>
    </row>
    <row r="25" ht="22.5" customHeight="1">
      <c r="A25" s="2">
        <v>70.0</v>
      </c>
      <c r="B25" s="2" t="s">
        <v>71</v>
      </c>
      <c r="C25" s="2" t="str">
        <f t="shared" si="1"/>
        <v>☐ Peer Tutoring</v>
      </c>
      <c r="D25" s="2" t="s">
        <v>53</v>
      </c>
      <c r="E25" s="14" t="b">
        <v>0</v>
      </c>
    </row>
    <row r="26" ht="22.5" customHeight="1">
      <c r="A26" s="2">
        <v>71.0</v>
      </c>
      <c r="B26" s="2" t="s">
        <v>72</v>
      </c>
      <c r="C26" s="2" t="str">
        <f t="shared" si="1"/>
        <v>☐ Lavoro di Gruppo</v>
      </c>
      <c r="D26" s="2" t="s">
        <v>47</v>
      </c>
      <c r="E26" s="14" t="b">
        <v>0</v>
      </c>
    </row>
    <row r="27" ht="22.5" customHeight="1">
      <c r="A27" s="2">
        <v>72.0</v>
      </c>
      <c r="B27" s="2" t="s">
        <v>73</v>
      </c>
      <c r="C27" s="2" t="str">
        <f t="shared" si="1"/>
        <v>☐ Jigsaw</v>
      </c>
      <c r="D27" s="2" t="s">
        <v>55</v>
      </c>
      <c r="E27" s="14" t="b">
        <v>0</v>
      </c>
    </row>
    <row r="28" ht="22.5" customHeight="1">
      <c r="A28" s="2">
        <v>73.0</v>
      </c>
      <c r="B28" s="2" t="s">
        <v>74</v>
      </c>
      <c r="C28" s="2" t="str">
        <f t="shared" si="1"/>
        <v>☐ Altro:</v>
      </c>
      <c r="D28" s="2" t="s">
        <v>57</v>
      </c>
      <c r="E28" s="14" t="b">
        <v>0</v>
      </c>
    </row>
    <row r="29" ht="22.5" customHeight="1">
      <c r="A29" s="2">
        <v>75.0</v>
      </c>
      <c r="B29" s="2" t="s">
        <v>75</v>
      </c>
      <c r="C29" s="2" t="str">
        <f t="shared" si="1"/>
        <v>☐ Realizzazione di mappe concettuali</v>
      </c>
      <c r="D29" s="2" t="s">
        <v>76</v>
      </c>
      <c r="E29" s="14" t="b">
        <v>0</v>
      </c>
    </row>
    <row r="30" ht="22.5" customHeight="1">
      <c r="A30" s="2">
        <v>76.0</v>
      </c>
      <c r="B30" s="2" t="s">
        <v>77</v>
      </c>
      <c r="C30" s="2" t="str">
        <f t="shared" si="1"/>
        <v>☐ Invio di materiale multimediale, Power Point, esercizi o test da svolgere (Videolezione, Documentari, Project Work …)</v>
      </c>
      <c r="D30" s="2" t="s">
        <v>78</v>
      </c>
      <c r="E30" s="14" t="b">
        <v>0</v>
      </c>
    </row>
    <row r="31" ht="22.5" customHeight="1">
      <c r="A31" s="2">
        <v>77.0</v>
      </c>
      <c r="B31" s="2" t="s">
        <v>79</v>
      </c>
      <c r="C31" s="2" t="str">
        <f t="shared" si="1"/>
        <v>☐ Invio di tracce per elaborati</v>
      </c>
      <c r="D31" s="2" t="s">
        <v>80</v>
      </c>
      <c r="E31" s="14" t="b">
        <v>0</v>
      </c>
    </row>
    <row r="32" ht="22.5" customHeight="1">
      <c r="A32" s="2">
        <v>78.0</v>
      </c>
      <c r="B32" s="2" t="s">
        <v>81</v>
      </c>
      <c r="C32" s="2" t="str">
        <f t="shared" si="1"/>
        <v>☐ Invio di sintesi degli argomenti svolti in presenza</v>
      </c>
      <c r="D32" s="2" t="s">
        <v>82</v>
      </c>
      <c r="E32" s="14" t="b">
        <v>0</v>
      </c>
    </row>
    <row r="33" ht="22.5" customHeight="1">
      <c r="A33" s="2">
        <v>79.0</v>
      </c>
      <c r="B33" s="2" t="s">
        <v>83</v>
      </c>
      <c r="C33" s="2" t="str">
        <f t="shared" si="1"/>
        <v>☐ Invio di testi e/o sintesi scientifiche o specifiche della disciplina da analizzare</v>
      </c>
      <c r="D33" s="2" t="s">
        <v>84</v>
      </c>
      <c r="E33" s="14" t="b">
        <v>0</v>
      </c>
    </row>
    <row r="34" ht="22.5" customHeight="1">
      <c r="A34" s="2">
        <v>80.0</v>
      </c>
      <c r="B34" s="2" t="s">
        <v>85</v>
      </c>
      <c r="C34" s="2" t="str">
        <f t="shared" si="1"/>
        <v>☐ Altro:</v>
      </c>
      <c r="D34" s="2" t="s">
        <v>57</v>
      </c>
      <c r="E34" s="14" t="b">
        <v>0</v>
      </c>
    </row>
    <row r="35" ht="22.5" customHeight="1">
      <c r="A35" s="2">
        <v>81.0</v>
      </c>
      <c r="B35" s="2" t="s">
        <v>86</v>
      </c>
      <c r="C35" s="2" t="str">
        <f t="shared" si="1"/>
        <v>🗹 Libri di Testo</v>
      </c>
      <c r="D35" s="2" t="s">
        <v>87</v>
      </c>
      <c r="E35" s="14" t="b">
        <v>1</v>
      </c>
    </row>
    <row r="36" ht="22.5" customHeight="1">
      <c r="A36" s="2">
        <v>82.0</v>
      </c>
      <c r="B36" s="2" t="s">
        <v>88</v>
      </c>
      <c r="C36" s="2" t="str">
        <f t="shared" si="1"/>
        <v>🗹 Audiovisivi</v>
      </c>
      <c r="D36" s="2" t="s">
        <v>89</v>
      </c>
      <c r="E36" s="14" t="b">
        <v>1</v>
      </c>
    </row>
    <row r="37" ht="22.5" customHeight="1">
      <c r="A37" s="2">
        <v>83.0</v>
      </c>
      <c r="B37" s="2" t="s">
        <v>90</v>
      </c>
      <c r="C37" s="2" t="str">
        <f t="shared" si="1"/>
        <v>🗹 Prodotti Multimediali</v>
      </c>
      <c r="D37" s="2" t="s">
        <v>91</v>
      </c>
      <c r="E37" s="14" t="b">
        <v>1</v>
      </c>
    </row>
    <row r="38" ht="22.5" customHeight="1">
      <c r="A38" s="2">
        <v>84.0</v>
      </c>
      <c r="B38" s="2" t="s">
        <v>92</v>
      </c>
      <c r="C38" s="2" t="str">
        <f t="shared" si="1"/>
        <v>☐ Riviste Specializzate</v>
      </c>
      <c r="D38" s="2" t="s">
        <v>93</v>
      </c>
      <c r="E38" s="14" t="b">
        <v>0</v>
      </c>
    </row>
    <row r="39" ht="22.5" customHeight="1">
      <c r="A39" s="2">
        <v>85.0</v>
      </c>
      <c r="B39" s="2" t="s">
        <v>94</v>
      </c>
      <c r="C39" s="2" t="str">
        <f t="shared" si="1"/>
        <v>🗹 Risorse di Rete</v>
      </c>
      <c r="D39" s="2" t="s">
        <v>95</v>
      </c>
      <c r="E39" s="14" t="b">
        <v>1</v>
      </c>
    </row>
    <row r="40" ht="22.5" customHeight="1">
      <c r="A40" s="2">
        <v>86.0</v>
      </c>
      <c r="B40" s="2" t="s">
        <v>96</v>
      </c>
      <c r="C40" s="2" t="str">
        <f t="shared" si="1"/>
        <v>🗹 Strumenti Tecnici</v>
      </c>
      <c r="D40" s="2" t="s">
        <v>97</v>
      </c>
      <c r="E40" s="14" t="b">
        <v>1</v>
      </c>
    </row>
    <row r="41" ht="22.5" customHeight="1">
      <c r="A41" s="2">
        <v>87.0</v>
      </c>
      <c r="B41" s="2" t="s">
        <v>98</v>
      </c>
      <c r="C41" s="2" t="str">
        <f t="shared" si="1"/>
        <v>☐ Diario di Bordo</v>
      </c>
      <c r="D41" s="2" t="s">
        <v>99</v>
      </c>
      <c r="E41" s="14" t="b">
        <v>0</v>
      </c>
    </row>
    <row r="42" ht="22.5" customHeight="1">
      <c r="A42" s="2">
        <v>88.0</v>
      </c>
      <c r="B42" s="2" t="s">
        <v>100</v>
      </c>
      <c r="C42" s="2" t="str">
        <f t="shared" si="1"/>
        <v>🗹 Dispositivi Elettronici</v>
      </c>
      <c r="D42" s="2" t="s">
        <v>101</v>
      </c>
      <c r="E42" s="14" t="b">
        <v>1</v>
      </c>
    </row>
    <row r="43" ht="22.5" customHeight="1">
      <c r="A43" s="2">
        <v>89.0</v>
      </c>
      <c r="B43" s="2" t="s">
        <v>102</v>
      </c>
      <c r="C43" s="2" t="str">
        <f t="shared" si="1"/>
        <v>☐ Altro:</v>
      </c>
      <c r="D43" s="2" t="s">
        <v>57</v>
      </c>
      <c r="E43" s="14" t="b">
        <v>0</v>
      </c>
    </row>
    <row r="44" ht="22.5" customHeight="1">
      <c r="A44" s="2">
        <v>90.0</v>
      </c>
      <c r="B44" s="2" t="s">
        <v>103</v>
      </c>
      <c r="C44" s="2" t="str">
        <f t="shared" si="1"/>
        <v>🗹 Aula Informatica</v>
      </c>
      <c r="D44" s="2" t="s">
        <v>104</v>
      </c>
      <c r="E44" s="14" t="b">
        <v>1</v>
      </c>
    </row>
    <row r="45" ht="22.5" customHeight="1">
      <c r="A45" s="2">
        <v>91.0</v>
      </c>
      <c r="B45" s="2" t="s">
        <v>105</v>
      </c>
      <c r="C45" s="2" t="str">
        <f t="shared" si="1"/>
        <v>☐ Laboratorio</v>
      </c>
      <c r="D45" s="2" t="s">
        <v>106</v>
      </c>
      <c r="E45" s="14" t="b">
        <v>0</v>
      </c>
    </row>
    <row r="46" ht="22.5" customHeight="1">
      <c r="A46" s="2">
        <v>92.0</v>
      </c>
      <c r="B46" s="2" t="s">
        <v>107</v>
      </c>
      <c r="C46" s="2" t="str">
        <f t="shared" si="1"/>
        <v>☐ Biblioteca</v>
      </c>
      <c r="D46" s="2" t="s">
        <v>108</v>
      </c>
      <c r="E46" s="14" t="b">
        <v>0</v>
      </c>
    </row>
    <row r="47" ht="22.5" customHeight="1">
      <c r="A47" s="2">
        <v>93.0</v>
      </c>
      <c r="B47" s="2" t="s">
        <v>109</v>
      </c>
      <c r="C47" s="2" t="str">
        <f t="shared" si="1"/>
        <v>☐ Palestra</v>
      </c>
      <c r="D47" s="2" t="s">
        <v>110</v>
      </c>
      <c r="E47" s="14" t="b">
        <v>0</v>
      </c>
    </row>
    <row r="48" ht="22.5" customHeight="1">
      <c r="A48" s="2">
        <v>94.0</v>
      </c>
      <c r="B48" s="2" t="s">
        <v>111</v>
      </c>
      <c r="C48" s="2" t="str">
        <f t="shared" si="1"/>
        <v>🗹 Piattaforme (Microsoft Teams, Edmodo, GMeet, Zoom)</v>
      </c>
      <c r="D48" s="2" t="s">
        <v>112</v>
      </c>
      <c r="E48" s="14" t="b">
        <v>1</v>
      </c>
    </row>
    <row r="49" ht="22.5" customHeight="1">
      <c r="A49" s="2">
        <v>95.0</v>
      </c>
      <c r="B49" s="2" t="s">
        <v>113</v>
      </c>
      <c r="C49" s="2" t="str">
        <f t="shared" si="1"/>
        <v>☐ Laboratori</v>
      </c>
      <c r="D49" s="2" t="s">
        <v>114</v>
      </c>
      <c r="E49" s="14" t="b">
        <v>0</v>
      </c>
    </row>
    <row r="50" ht="22.5" customHeight="1">
      <c r="A50" s="2">
        <v>96.0</v>
      </c>
      <c r="B50" s="2" t="s">
        <v>115</v>
      </c>
      <c r="C50" s="2" t="str">
        <f t="shared" si="1"/>
        <v>☐ Strutture Convenzionate per PCTO:</v>
      </c>
      <c r="D50" s="2" t="s">
        <v>116</v>
      </c>
      <c r="E50" s="14" t="b">
        <v>0</v>
      </c>
    </row>
    <row r="51" ht="22.5" customHeight="1">
      <c r="A51" s="2">
        <v>97.0</v>
      </c>
      <c r="B51" s="2" t="s">
        <v>117</v>
      </c>
      <c r="C51" s="2" t="str">
        <f t="shared" si="1"/>
        <v>☐ Altro:</v>
      </c>
      <c r="D51" s="2" t="s">
        <v>57</v>
      </c>
      <c r="E51" s="14" t="b">
        <v>0</v>
      </c>
    </row>
    <row r="52" ht="22.5" customHeight="1">
      <c r="A52" s="2">
        <v>98.0</v>
      </c>
      <c r="B52" s="2" t="s">
        <v>118</v>
      </c>
      <c r="C52" s="2" t="str">
        <f t="shared" si="1"/>
        <v>☐ </v>
      </c>
      <c r="D52" s="15"/>
      <c r="E52" s="14" t="b">
        <v>0</v>
      </c>
    </row>
    <row r="53" ht="22.5" customHeight="1">
      <c r="A53" s="2">
        <v>99.0</v>
      </c>
      <c r="B53" s="2" t="s">
        <v>119</v>
      </c>
      <c r="C53" s="2" t="str">
        <f t="shared" si="1"/>
        <v>🗹 Colloqui Orali</v>
      </c>
      <c r="D53" s="2" t="s">
        <v>120</v>
      </c>
      <c r="E53" s="14" t="b">
        <v>1</v>
      </c>
    </row>
    <row r="54" ht="22.5" customHeight="1">
      <c r="A54" s="2">
        <v>100.0</v>
      </c>
      <c r="B54" s="2" t="s">
        <v>121</v>
      </c>
      <c r="C54" s="2" t="str">
        <f t="shared" si="1"/>
        <v>🗹 Prove Scritte</v>
      </c>
      <c r="D54" s="2" t="s">
        <v>122</v>
      </c>
      <c r="E54" s="14" t="b">
        <v>1</v>
      </c>
    </row>
    <row r="55" ht="22.5" customHeight="1">
      <c r="A55" s="2">
        <v>101.0</v>
      </c>
      <c r="B55" s="2" t="s">
        <v>123</v>
      </c>
      <c r="C55" s="2" t="str">
        <f t="shared" si="1"/>
        <v>☐ Prove Scritte – Grafiche</v>
      </c>
      <c r="D55" s="2" t="s">
        <v>124</v>
      </c>
      <c r="E55" s="14" t="b">
        <v>0</v>
      </c>
    </row>
    <row r="56" ht="22.5" customHeight="1">
      <c r="A56" s="2">
        <v>102.0</v>
      </c>
      <c r="B56" s="2" t="s">
        <v>125</v>
      </c>
      <c r="C56" s="2" t="str">
        <f t="shared" si="1"/>
        <v>🗹 Ricerche personali o di gruppo</v>
      </c>
      <c r="D56" s="2" t="s">
        <v>126</v>
      </c>
      <c r="E56" s="14" t="b">
        <v>1</v>
      </c>
    </row>
    <row r="57" ht="22.5" customHeight="1">
      <c r="A57" s="2">
        <v>103.0</v>
      </c>
      <c r="B57" s="2" t="s">
        <v>127</v>
      </c>
      <c r="C57" s="2" t="str">
        <f t="shared" si="1"/>
        <v>☐ Project Work</v>
      </c>
      <c r="D57" s="2" t="s">
        <v>128</v>
      </c>
    </row>
    <row r="58" ht="22.5" customHeight="1">
      <c r="A58" s="2">
        <v>104.0</v>
      </c>
      <c r="B58" s="2" t="s">
        <v>129</v>
      </c>
      <c r="C58" s="2" t="str">
        <f t="shared" si="1"/>
        <v>☐ Dialogo Interattivo</v>
      </c>
      <c r="D58" s="2" t="s">
        <v>130</v>
      </c>
      <c r="E58" s="14" t="b">
        <v>0</v>
      </c>
    </row>
    <row r="59" ht="22.5" customHeight="1">
      <c r="A59" s="2">
        <v>105.0</v>
      </c>
      <c r="B59" s="2" t="s">
        <v>131</v>
      </c>
      <c r="C59" s="2" t="str">
        <f t="shared" si="1"/>
        <v>🗹 Test Interattivi:  
  ☐ Google Moduli
  🗹 Microsoft Forms
  ☐ Quizlet
  ☐ Kahoot
  ☐ Zanichelli Zte
  ☐ Teacher Desmos
  ☐ Altro:</v>
      </c>
      <c r="D59" s="2" t="s">
        <v>132</v>
      </c>
      <c r="E59" s="14" t="b">
        <v>1</v>
      </c>
    </row>
    <row r="60" ht="22.5" customHeight="1">
      <c r="A60" s="2">
        <v>112.0</v>
      </c>
      <c r="B60" s="2" t="s">
        <v>133</v>
      </c>
      <c r="C60" s="2" t="str">
        <f t="shared" si="1"/>
        <v>☐ ☐ Altro:</v>
      </c>
      <c r="D60" s="2" t="s">
        <v>134</v>
      </c>
      <c r="E60" s="14" t="b">
        <v>0</v>
      </c>
    </row>
    <row r="61" ht="22.5" customHeight="1">
      <c r="A61" s="2">
        <v>113.0</v>
      </c>
      <c r="B61" s="2" t="s">
        <v>135</v>
      </c>
      <c r="C61" s="2" t="str">
        <f t="shared" si="1"/>
        <v>🗹 🗹 Questionari a Risposta Chiusa</v>
      </c>
      <c r="D61" s="2" t="s">
        <v>136</v>
      </c>
      <c r="E61" s="14" t="b">
        <v>1</v>
      </c>
    </row>
    <row r="62" ht="22.5" customHeight="1">
      <c r="A62" s="2">
        <v>114.0</v>
      </c>
      <c r="B62" s="2" t="s">
        <v>137</v>
      </c>
      <c r="C62" s="2" t="str">
        <f t="shared" si="1"/>
        <v>🗹 🗹 Questionari a Risposta Aperta</v>
      </c>
      <c r="D62" s="2" t="s">
        <v>138</v>
      </c>
      <c r="E62" s="14" t="b">
        <v>1</v>
      </c>
    </row>
    <row r="63" ht="22.5" customHeight="1">
      <c r="A63" s="2">
        <v>115.0</v>
      </c>
      <c r="B63" s="2" t="s">
        <v>139</v>
      </c>
      <c r="C63" s="2" t="str">
        <f t="shared" si="1"/>
        <v>🗹 🗹 Questionari a Risposta Multipla</v>
      </c>
      <c r="D63" s="2" t="s">
        <v>140</v>
      </c>
      <c r="E63" s="14" t="b">
        <v>1</v>
      </c>
    </row>
    <row r="64" ht="22.5" customHeight="1">
      <c r="A64" s="2">
        <v>116.0</v>
      </c>
      <c r="B64" s="2" t="s">
        <v>141</v>
      </c>
      <c r="C64" s="2" t="str">
        <f t="shared" si="1"/>
        <v>🗹 🗹 Questionari Vero - Falso</v>
      </c>
      <c r="D64" s="2" t="s">
        <v>142</v>
      </c>
      <c r="E64" s="14" t="b">
        <v>1</v>
      </c>
    </row>
    <row r="65" ht="22.5" customHeight="1">
      <c r="A65" s="2">
        <v>117.0</v>
      </c>
      <c r="B65" s="2" t="s">
        <v>143</v>
      </c>
      <c r="C65" s="2" t="str">
        <f t="shared" si="1"/>
        <v>🗹 🗹 Compiti di Realtà</v>
      </c>
      <c r="D65" s="2" t="s">
        <v>144</v>
      </c>
      <c r="E65" s="14" t="b">
        <v>1</v>
      </c>
    </row>
    <row r="66" ht="22.5" customHeight="1">
      <c r="A66" s="2">
        <v>118.0</v>
      </c>
      <c r="B66" s="2" t="s">
        <v>145</v>
      </c>
      <c r="C66" s="2" t="str">
        <f t="shared" si="1"/>
        <v>🗹 Verifiche per Competenze: 
  🗹 Commento a Testi;
  🗹 Creazione e Risoluzione di Esercizi (Problem  Solving E Posing)
  ☐ Mappa Di Sintesi;
  🗹 Riflessione Critica
  ☐ Debate: Argomentare Con Punti Di Vista Diversi
  ☐ Percorsi Con Immagini E Testi
  ☐ Saggio Di Comparazione
  ☐ Altro:</v>
      </c>
      <c r="D66" s="2" t="s">
        <v>146</v>
      </c>
      <c r="E66" s="14" t="b">
        <v>1</v>
      </c>
    </row>
    <row r="67" ht="22.5" customHeight="1">
      <c r="A67" s="2">
        <v>126.0</v>
      </c>
      <c r="B67" s="2" t="s">
        <v>147</v>
      </c>
      <c r="C67" s="2" t="str">
        <f t="shared" si="1"/>
        <v>☐ Verifiche per Competenze con il Digitale  
  ☐ Pagina Web (Sites)
  ☐ Immagini, Mappe e Presentazioni Animate  (Genial.Ly)
  ☐ Realizzazione Di Ebooks
  ☐ Lavori di Gruppo con documenti o produzioni multimediali condivise
  ☐ Presentazioni (Ppt, Prezi, Google Presentation, Slides, Genial.Ly, Etc.)
  ☐ Video (Spark Adobe, Powtoon, Stop Motion, Etc.)
  ☐ Reading Collettivi Da Registrare
  ☐ Altro:</v>
      </c>
      <c r="D67" s="2" t="s">
        <v>148</v>
      </c>
      <c r="E67" s="14" t="b">
        <v>0</v>
      </c>
    </row>
  </sheetData>
  <drawing r:id="rId1"/>
  <tableParts count="1">
    <tablePart r:id="rId3"/>
  </tableParts>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2" max="2" width="14.5"/>
  </cols>
  <sheetData>
    <row r="1" ht="22.5" customHeight="1">
      <c r="A1" s="12" t="s">
        <v>0</v>
      </c>
      <c r="B1" s="12" t="s">
        <v>149</v>
      </c>
    </row>
    <row r="2" ht="22.5" customHeight="1">
      <c r="A2" s="2">
        <v>1.0</v>
      </c>
      <c r="B2" s="2" t="s">
        <v>150</v>
      </c>
    </row>
    <row r="3" ht="22.5" customHeight="1">
      <c r="A3" s="2">
        <v>2.0</v>
      </c>
      <c r="B3" s="2" t="s">
        <v>151</v>
      </c>
    </row>
  </sheetData>
  <drawing r:id="rId1"/>
  <tableParts count="1">
    <tablePart r:id="rId3"/>
  </tableParts>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2" max="2" width="28.0"/>
  </cols>
  <sheetData>
    <row r="1" ht="22.5" customHeight="1">
      <c r="A1" s="1" t="s">
        <v>0</v>
      </c>
      <c r="B1" s="1" t="s">
        <v>152</v>
      </c>
    </row>
    <row r="2" ht="22.5" customHeight="1">
      <c r="A2" s="2">
        <v>1.0</v>
      </c>
      <c r="B2" s="16" t="s">
        <v>153</v>
      </c>
    </row>
    <row r="3" ht="22.5" customHeight="1">
      <c r="A3" s="2">
        <v>2.0</v>
      </c>
      <c r="B3" s="16" t="s">
        <v>154</v>
      </c>
    </row>
  </sheetData>
  <drawing r:id="rId1"/>
  <tableParts count="1">
    <tablePart r:id="rId3"/>
  </tableParts>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sheetData>
    <row r="1" ht="22.5" customHeight="1">
      <c r="A1" s="1" t="s">
        <v>0</v>
      </c>
      <c r="B1" s="1" t="s">
        <v>155</v>
      </c>
      <c r="C1" s="1" t="s">
        <v>156</v>
      </c>
      <c r="D1" s="1" t="s">
        <v>13</v>
      </c>
    </row>
    <row r="2" ht="22.5" customHeight="1">
      <c r="A2" s="2">
        <v>1.0</v>
      </c>
      <c r="B2" s="2" t="s">
        <v>157</v>
      </c>
      <c r="C2" s="2">
        <v>5.0</v>
      </c>
      <c r="D2" s="2">
        <v>2.0</v>
      </c>
    </row>
    <row r="3" ht="22.5" customHeight="1">
      <c r="A3" s="14">
        <v>2.0</v>
      </c>
      <c r="B3" s="14" t="s">
        <v>158</v>
      </c>
      <c r="C3" s="14">
        <v>5.0</v>
      </c>
      <c r="D3" s="14">
        <v>1.0</v>
      </c>
    </row>
  </sheetData>
  <drawing r:id="rId1"/>
  <tableParts count="1">
    <tablePart r:id="rId3"/>
  </tableParts>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3.13"/>
    <col customWidth="1" min="2" max="2" width="56.0"/>
    <col customWidth="1" min="4" max="4" width="117.5"/>
  </cols>
  <sheetData>
    <row r="1" ht="22.5" customHeight="1">
      <c r="A1" s="12" t="s">
        <v>0</v>
      </c>
      <c r="B1" s="12" t="s">
        <v>149</v>
      </c>
      <c r="C1" s="13" t="s">
        <v>159</v>
      </c>
      <c r="D1" s="13" t="s">
        <v>160</v>
      </c>
    </row>
    <row r="2" ht="22.5" customHeight="1">
      <c r="A2" s="2">
        <v>1.0</v>
      </c>
      <c r="B2" s="2" t="s">
        <v>161</v>
      </c>
      <c r="C2" s="14" t="s">
        <v>162</v>
      </c>
      <c r="D2" s="14" t="s">
        <v>163</v>
      </c>
    </row>
    <row r="3" ht="22.5" customHeight="1">
      <c r="A3" s="2">
        <v>2.0</v>
      </c>
      <c r="B3" s="2" t="s">
        <v>164</v>
      </c>
      <c r="C3" s="14" t="s">
        <v>165</v>
      </c>
      <c r="D3" s="15"/>
    </row>
    <row r="4" ht="22.5" customHeight="1">
      <c r="A4" s="2">
        <v>3.0</v>
      </c>
      <c r="B4" s="2" t="s">
        <v>166</v>
      </c>
      <c r="C4" s="14" t="s">
        <v>167</v>
      </c>
      <c r="D4" s="15"/>
    </row>
    <row r="5" ht="22.5" customHeight="1">
      <c r="A5" s="14">
        <v>4.0</v>
      </c>
      <c r="B5" s="14" t="s">
        <v>168</v>
      </c>
      <c r="C5" s="14" t="s">
        <v>169</v>
      </c>
      <c r="D5" s="15"/>
    </row>
  </sheetData>
  <drawing r:id="rId1"/>
  <tableParts count="1">
    <tablePart r:id="rId3"/>
  </tableParts>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7.38"/>
    <col customWidth="1" min="2" max="2" width="33.0"/>
    <col customWidth="1" min="3" max="3" width="11.63"/>
    <col customWidth="1" min="4" max="4" width="17.63"/>
  </cols>
  <sheetData>
    <row r="1" ht="22.5" customHeight="1">
      <c r="A1" s="12" t="s">
        <v>0</v>
      </c>
      <c r="B1" s="12" t="s">
        <v>170</v>
      </c>
      <c r="C1" s="12" t="s">
        <v>171</v>
      </c>
      <c r="D1" s="12" t="s">
        <v>172</v>
      </c>
    </row>
    <row r="2" ht="22.5" customHeight="1">
      <c r="A2" s="2">
        <v>1.0</v>
      </c>
      <c r="B2" s="2" t="s">
        <v>173</v>
      </c>
      <c r="C2" s="2">
        <v>2.0</v>
      </c>
      <c r="D2" s="17" t="str">
        <f>VLOOKUP(C2,discipline[],3)</f>
        <v>TeP</v>
      </c>
    </row>
    <row r="3" ht="22.5" customHeight="1">
      <c r="A3" s="2">
        <v>2.0</v>
      </c>
      <c r="B3" s="2" t="s">
        <v>174</v>
      </c>
      <c r="C3" s="2">
        <v>2.0</v>
      </c>
      <c r="D3" s="17" t="str">
        <f>VLOOKUP(C3,discipline[],3)</f>
        <v>TeP</v>
      </c>
    </row>
  </sheetData>
  <drawing r:id="rId1"/>
  <tableParts count="1">
    <tablePart r:id="rId3"/>
  </tableParts>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5.13"/>
    <col customWidth="1" min="2" max="2" width="19.38"/>
    <col customWidth="1" min="3" max="3" width="10.38"/>
    <col customWidth="1" min="4" max="4" width="33.0"/>
    <col customWidth="1" min="5" max="5" width="37.88"/>
  </cols>
  <sheetData>
    <row r="1" ht="22.5" customHeight="1">
      <c r="A1" s="12" t="s">
        <v>0</v>
      </c>
      <c r="B1" s="12" t="s">
        <v>170</v>
      </c>
      <c r="C1" s="12" t="s">
        <v>175</v>
      </c>
      <c r="D1" s="12" t="s">
        <v>176</v>
      </c>
      <c r="E1" s="13" t="s">
        <v>177</v>
      </c>
    </row>
    <row r="2" ht="22.5" customHeight="1">
      <c r="A2" s="2">
        <v>1.0</v>
      </c>
      <c r="B2" s="2" t="s">
        <v>178</v>
      </c>
      <c r="C2" s="2">
        <v>1.0</v>
      </c>
      <c r="D2" s="17" t="str">
        <f>VLOOKUP(C2,uda[[id]:[titolo]],2)</f>
        <v>Crittografia</v>
      </c>
      <c r="E2" s="18" t="str">
        <f>IFERROR(__xludf.DUMMYFUNCTION("JOIN("", "",ARRAYFORMULA(VLOOKUP(FILTER(competenze_TO_modulo[id_competenze], competenze_TO_modulo[id_modulo] = A2), competenze, 8, FALSE)))"),"C3/c, C4/c, C5/c, C1/d, C4/d, C5/d, C1/i, C3/i, C5/i")</f>
        <v>C3/c, C4/c, C5/c, C1/d, C4/d, C5/d, C1/i, C3/i, C5/i</v>
      </c>
    </row>
    <row r="3" ht="22.5" customHeight="1">
      <c r="A3" s="2">
        <v>2.0</v>
      </c>
      <c r="B3" s="2" t="s">
        <v>179</v>
      </c>
      <c r="C3" s="2">
        <v>1.0</v>
      </c>
      <c r="D3" s="17" t="str">
        <f>VLOOKUP(C3,uda[[id]:[titolo]],2)</f>
        <v>Crittografia</v>
      </c>
      <c r="E3" s="18" t="str">
        <f>IFERROR(__xludf.DUMMYFUNCTION("JOIN(""; "",ARRAYFORMULA(VLOOKUP(FILTER(competenze_TO_modulo[id_competenze], competenze_TO_modulo[id_modulo] = A3), competenze, 8, FALSE)))"),"#N/A")</f>
        <v>#N/A</v>
      </c>
    </row>
    <row r="4" ht="22.5" customHeight="1">
      <c r="A4" s="2">
        <v>3.0</v>
      </c>
      <c r="B4" s="2" t="s">
        <v>180</v>
      </c>
      <c r="C4" s="2">
        <v>2.0</v>
      </c>
      <c r="D4" s="17" t="str">
        <f>VLOOKUP(C4,uda[[id]:[titolo]],2)</f>
        <v>Architettura e Sviluppo di un Servizio Web</v>
      </c>
      <c r="E4" s="18" t="str">
        <f>IFERROR(__xludf.DUMMYFUNCTION("JOIN(""; "",ARRAYFORMULA(VLOOKUP(FILTER(competenze_TO_modulo[id_competenze], competenze_TO_modulo[id_modulo] = A4), competenze, 8, FALSE)))"),"#N/A")</f>
        <v>#N/A</v>
      </c>
    </row>
    <row r="5" ht="22.5" customHeight="1">
      <c r="A5" s="2">
        <v>4.0</v>
      </c>
      <c r="B5" s="2" t="s">
        <v>181</v>
      </c>
      <c r="C5" s="2">
        <v>2.0</v>
      </c>
      <c r="D5" s="17" t="str">
        <f>VLOOKUP(C5,uda[[id]:[titolo]],2)</f>
        <v>Architettura e Sviluppo di un Servizio Web</v>
      </c>
      <c r="E5" s="18" t="str">
        <f>IFERROR(__xludf.DUMMYFUNCTION("JOIN(""; "",ARRAYFORMULA(VLOOKUP(FILTER(competenze_TO_modulo[id_competenze], competenze_TO_modulo[id_modulo] = A5), competenze, 8, FALSE)))"),"#N/A")</f>
        <v>#N/A</v>
      </c>
    </row>
    <row r="6" ht="22.5" customHeight="1">
      <c r="A6" s="2">
        <v>5.0</v>
      </c>
      <c r="B6" s="2" t="s">
        <v>182</v>
      </c>
      <c r="C6" s="2">
        <v>2.0</v>
      </c>
      <c r="D6" s="17" t="str">
        <f>VLOOKUP(C6,uda[[id]:[titolo]],2)</f>
        <v>Architettura e Sviluppo di un Servizio Web</v>
      </c>
      <c r="E6" s="18" t="str">
        <f>IFERROR(__xludf.DUMMYFUNCTION("JOIN(""; "",ARRAYFORMULA(VLOOKUP(FILTER(competenze_TO_modulo[id_competenze], competenze_TO_modulo[id_modulo] = A6), competenze, 8, FALSE)))"),"#N/A")</f>
        <v>#N/A</v>
      </c>
    </row>
  </sheetData>
  <drawing r:id="rId1"/>
  <tableParts count="1">
    <tablePart r:id="rId3"/>
  </tableParts>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4.13"/>
    <col customWidth="1" min="2" max="2" width="11.63"/>
    <col customWidth="1" min="3" max="3" width="40.0"/>
    <col customWidth="1" min="4" max="4" width="19.38"/>
    <col customWidth="1" min="5" max="6" width="33.0"/>
    <col customWidth="1" min="7" max="7" width="17.25"/>
  </cols>
  <sheetData>
    <row r="1" ht="22.5" customHeight="1">
      <c r="A1" s="12" t="s">
        <v>0</v>
      </c>
      <c r="B1" s="19" t="s">
        <v>183</v>
      </c>
      <c r="C1" s="12" t="s">
        <v>170</v>
      </c>
      <c r="D1" s="12" t="s">
        <v>184</v>
      </c>
      <c r="E1" s="12" t="s">
        <v>185</v>
      </c>
      <c r="F1" s="20" t="s">
        <v>176</v>
      </c>
      <c r="G1" s="20" t="s">
        <v>186</v>
      </c>
    </row>
    <row r="2" ht="22.5" customHeight="1">
      <c r="A2" s="21">
        <v>1.0</v>
      </c>
      <c r="B2" s="2">
        <v>1.0</v>
      </c>
      <c r="C2" s="2" t="s">
        <v>187</v>
      </c>
      <c r="D2" s="21">
        <v>1.0</v>
      </c>
      <c r="E2" s="17" t="str">
        <f>VLOOKUP(D2, moduli!$A$1:$B$6, 2, FALSE)</f>
        <v>Crittografia Classica</v>
      </c>
      <c r="F2" s="22" t="str">
        <f>VLOOKUP(VLOOKUP(D2,moduli[[id]:[id_uda]],3),uda[[id]:[titolo]],2)</f>
        <v>Crittografia</v>
      </c>
      <c r="G2" s="22" t="str">
        <f>VLOOKUP(VLOOKUP(D2,moduli[[id]:[id_uda]],3),uda[[id]:[alias_discipline]],4)</f>
        <v>TeP</v>
      </c>
    </row>
    <row r="3" ht="22.5" customHeight="1">
      <c r="A3" s="21">
        <v>2.0</v>
      </c>
      <c r="B3" s="2">
        <v>2.0</v>
      </c>
      <c r="C3" s="2" t="s">
        <v>188</v>
      </c>
      <c r="D3" s="21">
        <v>1.0</v>
      </c>
      <c r="E3" s="17" t="str">
        <f>VLOOKUP(D3, moduli!$A$1:$B$6, 2, FALSE)</f>
        <v>Crittografia Classica</v>
      </c>
      <c r="F3" s="22" t="str">
        <f>VLOOKUP(VLOOKUP(D3,moduli[[id]:[id_uda]],3),uda[[id]:[titolo]],2)</f>
        <v>Crittografia</v>
      </c>
      <c r="G3" s="22" t="str">
        <f>VLOOKUP(VLOOKUP(D3,moduli[[id]:[id_uda]],3),uda[[id]:[alias_discipline]],4)</f>
        <v>TeP</v>
      </c>
    </row>
    <row r="4" ht="22.5" customHeight="1">
      <c r="A4" s="21">
        <v>3.0</v>
      </c>
      <c r="B4" s="2">
        <v>3.0</v>
      </c>
      <c r="C4" s="2" t="s">
        <v>189</v>
      </c>
      <c r="D4" s="21">
        <v>1.0</v>
      </c>
      <c r="E4" s="17" t="str">
        <f>VLOOKUP(D4, moduli!$A$1:$B$6, 2, FALSE)</f>
        <v>Crittografia Classica</v>
      </c>
      <c r="F4" s="22" t="str">
        <f>VLOOKUP(VLOOKUP(D4,moduli[[id]:[id_uda]],3),uda[[id]:[titolo]],2)</f>
        <v>Crittografia</v>
      </c>
      <c r="G4" s="22" t="str">
        <f>VLOOKUP(VLOOKUP(D4,moduli[[id]:[id_uda]],3),uda[[id]:[alias_discipline]],4)</f>
        <v>TeP</v>
      </c>
    </row>
    <row r="5" ht="22.5" customHeight="1">
      <c r="A5" s="21">
        <v>4.0</v>
      </c>
      <c r="B5" s="2">
        <v>4.0</v>
      </c>
      <c r="C5" s="2" t="s">
        <v>190</v>
      </c>
      <c r="D5" s="21">
        <v>1.0</v>
      </c>
      <c r="E5" s="17" t="str">
        <f>VLOOKUP(D5, moduli!$A$1:$B$6, 2, FALSE)</f>
        <v>Crittografia Classica</v>
      </c>
      <c r="F5" s="22" t="str">
        <f>VLOOKUP(VLOOKUP(D5,moduli[[id]:[id_uda]],3),uda[[id]:[titolo]],2)</f>
        <v>Crittografia</v>
      </c>
      <c r="G5" s="22" t="str">
        <f>VLOOKUP(VLOOKUP(D5,moduli[[id]:[id_uda]],3),uda[[id]:[alias_discipline]],4)</f>
        <v>TeP</v>
      </c>
    </row>
    <row r="6" ht="22.5" customHeight="1">
      <c r="A6" s="21">
        <v>5.0</v>
      </c>
      <c r="B6" s="2">
        <v>5.0</v>
      </c>
      <c r="C6" s="2" t="s">
        <v>191</v>
      </c>
      <c r="D6" s="21">
        <v>1.0</v>
      </c>
      <c r="E6" s="17" t="str">
        <f>VLOOKUP(D6, moduli!$A$1:$B$6, 2, FALSE)</f>
        <v>Crittografia Classica</v>
      </c>
      <c r="F6" s="22" t="str">
        <f>VLOOKUP(VLOOKUP(D6,moduli[[id]:[id_uda]],3),uda[[id]:[titolo]],2)</f>
        <v>Crittografia</v>
      </c>
      <c r="G6" s="22" t="str">
        <f>VLOOKUP(VLOOKUP(D6,moduli[[id]:[id_uda]],3),uda[[id]:[alias_discipline]],4)</f>
        <v>TeP</v>
      </c>
    </row>
    <row r="7" ht="22.5" customHeight="1">
      <c r="A7" s="21">
        <v>6.0</v>
      </c>
      <c r="B7" s="2">
        <v>6.0</v>
      </c>
      <c r="C7" s="2" t="s">
        <v>192</v>
      </c>
      <c r="D7" s="21">
        <v>1.0</v>
      </c>
      <c r="E7" s="17" t="str">
        <f>VLOOKUP(D7, moduli!$A$1:$B$6, 2, FALSE)</f>
        <v>Crittografia Classica</v>
      </c>
      <c r="F7" s="22" t="str">
        <f>VLOOKUP(VLOOKUP(D7,moduli[[id]:[id_uda]],3),uda[[id]:[titolo]],2)</f>
        <v>Crittografia</v>
      </c>
      <c r="G7" s="22" t="str">
        <f>VLOOKUP(VLOOKUP(D7,moduli[[id]:[id_uda]],3),uda[[id]:[alias_discipline]],4)</f>
        <v>TeP</v>
      </c>
    </row>
    <row r="8" ht="22.5" customHeight="1">
      <c r="A8" s="21">
        <v>7.0</v>
      </c>
      <c r="B8" s="2">
        <v>7.0</v>
      </c>
      <c r="C8" s="2" t="s">
        <v>193</v>
      </c>
      <c r="D8" s="21">
        <v>2.0</v>
      </c>
      <c r="E8" s="17" t="str">
        <f>VLOOKUP(D8, moduli!$A$1:$B$6, 2, FALSE)</f>
        <v>Crittografia Quantistica</v>
      </c>
      <c r="F8" s="22" t="str">
        <f>VLOOKUP(VLOOKUP(D8,moduli[[id]:[id_uda]],3),uda[[id]:[titolo]],2)</f>
        <v>Crittografia</v>
      </c>
      <c r="G8" s="22" t="str">
        <f>VLOOKUP(VLOOKUP(D8,moduli[[id]:[id_uda]],3),uda[[id]:[alias_discipline]],4)</f>
        <v>TeP</v>
      </c>
    </row>
    <row r="9" ht="22.5" customHeight="1">
      <c r="A9" s="21">
        <v>8.0</v>
      </c>
      <c r="B9" s="2">
        <v>8.0</v>
      </c>
      <c r="C9" s="2" t="s">
        <v>194</v>
      </c>
      <c r="D9" s="21">
        <v>2.0</v>
      </c>
      <c r="E9" s="17" t="str">
        <f>VLOOKUP(D9, moduli!$A$1:$B$6, 2, FALSE)</f>
        <v>Crittografia Quantistica</v>
      </c>
      <c r="F9" s="22" t="str">
        <f>VLOOKUP(VLOOKUP(D9,moduli[[id]:[id_uda]],3),uda[[id]:[titolo]],2)</f>
        <v>Crittografia</v>
      </c>
      <c r="G9" s="22" t="str">
        <f>VLOOKUP(VLOOKUP(D9,moduli[[id]:[id_uda]],3),uda[[id]:[alias_discipline]],4)</f>
        <v>TeP</v>
      </c>
    </row>
    <row r="10" ht="22.5" customHeight="1">
      <c r="A10" s="21">
        <v>9.0</v>
      </c>
      <c r="B10" s="2">
        <v>9.0</v>
      </c>
      <c r="C10" s="2" t="s">
        <v>195</v>
      </c>
      <c r="D10" s="21">
        <v>2.0</v>
      </c>
      <c r="E10" s="17" t="str">
        <f>VLOOKUP(D10, moduli!$A$1:$B$6, 2, FALSE)</f>
        <v>Crittografia Quantistica</v>
      </c>
      <c r="F10" s="22" t="str">
        <f>VLOOKUP(VLOOKUP(D10,moduli[[id]:[id_uda]],3),uda[[id]:[titolo]],2)</f>
        <v>Crittografia</v>
      </c>
      <c r="G10" s="22" t="str">
        <f>VLOOKUP(VLOOKUP(D10,moduli[[id]:[id_uda]],3),uda[[id]:[alias_discipline]],4)</f>
        <v>TeP</v>
      </c>
    </row>
    <row r="11" ht="22.5" customHeight="1">
      <c r="A11" s="21">
        <v>10.0</v>
      </c>
      <c r="B11" s="2">
        <v>10.0</v>
      </c>
      <c r="C11" s="2" t="s">
        <v>196</v>
      </c>
      <c r="D11" s="21">
        <v>2.0</v>
      </c>
      <c r="E11" s="17" t="str">
        <f>VLOOKUP(D11, moduli!$A$1:$B$6, 2, FALSE)</f>
        <v>Crittografia Quantistica</v>
      </c>
      <c r="F11" s="22" t="str">
        <f>VLOOKUP(VLOOKUP(D11,moduli[[id]:[id_uda]],3),uda[[id]:[titolo]],2)</f>
        <v>Crittografia</v>
      </c>
      <c r="G11" s="22" t="str">
        <f>VLOOKUP(VLOOKUP(D11,moduli[[id]:[id_uda]],3),uda[[id]:[alias_discipline]],4)</f>
        <v>TeP</v>
      </c>
    </row>
    <row r="12" ht="22.5" customHeight="1">
      <c r="A12" s="21">
        <v>11.0</v>
      </c>
      <c r="B12" s="2">
        <v>11.0</v>
      </c>
      <c r="C12" s="2" t="s">
        <v>197</v>
      </c>
      <c r="D12" s="21">
        <v>3.0</v>
      </c>
      <c r="E12" s="17" t="str">
        <f>VLOOKUP(D12, moduli!$A$1:$B$6, 2, FALSE)</f>
        <v>Architettura</v>
      </c>
      <c r="F12" s="22" t="str">
        <f>VLOOKUP(VLOOKUP(D12,moduli[[id]:[id_uda]],3),uda[[id]:[titolo]],2)</f>
        <v>Architettura e Sviluppo di un Servizio Web</v>
      </c>
      <c r="G12" s="22" t="str">
        <f>VLOOKUP(VLOOKUP(D12,moduli[[id]:[id_uda]],3),uda[[id]:[alias_discipline]],4)</f>
        <v>TeP</v>
      </c>
    </row>
    <row r="13" ht="22.5" customHeight="1">
      <c r="A13" s="21">
        <v>12.0</v>
      </c>
      <c r="B13" s="2">
        <v>12.0</v>
      </c>
      <c r="C13" s="2" t="s">
        <v>198</v>
      </c>
      <c r="D13" s="21">
        <v>3.0</v>
      </c>
      <c r="E13" s="17" t="str">
        <f>VLOOKUP(D13, moduli!$A$1:$B$6, 2, FALSE)</f>
        <v>Architettura</v>
      </c>
      <c r="F13" s="22" t="str">
        <f>VLOOKUP(VLOOKUP(D13,moduli[[id]:[id_uda]],3),uda[[id]:[titolo]],2)</f>
        <v>Architettura e Sviluppo di un Servizio Web</v>
      </c>
      <c r="G13" s="22" t="str">
        <f>VLOOKUP(VLOOKUP(D13,moduli[[id]:[id_uda]],3),uda[[id]:[alias_discipline]],4)</f>
        <v>TeP</v>
      </c>
    </row>
    <row r="14" ht="22.5" customHeight="1">
      <c r="A14" s="21">
        <v>13.0</v>
      </c>
      <c r="B14" s="2">
        <v>13.0</v>
      </c>
      <c r="C14" s="2" t="s">
        <v>199</v>
      </c>
      <c r="D14" s="21">
        <v>4.0</v>
      </c>
      <c r="E14" s="17" t="str">
        <f>VLOOKUP(D14, moduli!$A$1:$B$6, 2, FALSE)</f>
        <v>Sviluppo</v>
      </c>
      <c r="F14" s="22" t="str">
        <f>VLOOKUP(VLOOKUP(D14,moduli[[id]:[id_uda]],3),uda[[id]:[titolo]],2)</f>
        <v>Architettura e Sviluppo di un Servizio Web</v>
      </c>
      <c r="G14" s="22" t="str">
        <f>VLOOKUP(VLOOKUP(D14,moduli[[id]:[id_uda]],3),uda[[id]:[alias_discipline]],4)</f>
        <v>TeP</v>
      </c>
    </row>
    <row r="15" ht="22.5" customHeight="1">
      <c r="A15" s="21">
        <v>14.0</v>
      </c>
      <c r="B15" s="2">
        <v>14.0</v>
      </c>
      <c r="C15" s="2" t="s">
        <v>200</v>
      </c>
      <c r="D15" s="21">
        <v>4.0</v>
      </c>
      <c r="E15" s="17" t="str">
        <f>VLOOKUP(D15, moduli!$A$1:$B$6, 2, FALSE)</f>
        <v>Sviluppo</v>
      </c>
      <c r="F15" s="22" t="str">
        <f>VLOOKUP(VLOOKUP(D15,moduli[[id]:[id_uda]],3),uda[[id]:[titolo]],2)</f>
        <v>Architettura e Sviluppo di un Servizio Web</v>
      </c>
      <c r="G15" s="22" t="str">
        <f>VLOOKUP(VLOOKUP(D15,moduli[[id]:[id_uda]],3),uda[[id]:[alias_discipline]],4)</f>
        <v>TeP</v>
      </c>
    </row>
    <row r="16" ht="22.5" customHeight="1">
      <c r="A16" s="21">
        <v>15.0</v>
      </c>
      <c r="B16" s="2">
        <v>15.0</v>
      </c>
      <c r="C16" s="2" t="s">
        <v>201</v>
      </c>
      <c r="D16" s="21">
        <v>4.0</v>
      </c>
      <c r="E16" s="17" t="str">
        <f>VLOOKUP(D16, moduli!$A$1:$B$6, 2, FALSE)</f>
        <v>Sviluppo</v>
      </c>
      <c r="F16" s="22" t="str">
        <f>VLOOKUP(VLOOKUP(D16,moduli[[id]:[id_uda]],3),uda[[id]:[titolo]],2)</f>
        <v>Architettura e Sviluppo di un Servizio Web</v>
      </c>
      <c r="G16" s="22" t="str">
        <f>VLOOKUP(VLOOKUP(D16,moduli[[id]:[id_uda]],3),uda[[id]:[alias_discipline]],4)</f>
        <v>TeP</v>
      </c>
    </row>
    <row r="17" ht="22.5" customHeight="1">
      <c r="A17" s="21">
        <v>16.0</v>
      </c>
      <c r="B17" s="2">
        <v>16.0</v>
      </c>
      <c r="C17" s="2" t="s">
        <v>202</v>
      </c>
      <c r="D17" s="21">
        <v>4.0</v>
      </c>
      <c r="E17" s="17" t="str">
        <f>VLOOKUP(D17, moduli!$A$1:$B$6, 2, FALSE)</f>
        <v>Sviluppo</v>
      </c>
      <c r="F17" s="22" t="str">
        <f>VLOOKUP(VLOOKUP(D17,moduli[[id]:[id_uda]],3),uda[[id]:[titolo]],2)</f>
        <v>Architettura e Sviluppo di un Servizio Web</v>
      </c>
      <c r="G17" s="22" t="str">
        <f>VLOOKUP(VLOOKUP(D17,moduli[[id]:[id_uda]],3),uda[[id]:[alias_discipline]],4)</f>
        <v>TeP</v>
      </c>
    </row>
    <row r="18" ht="22.5" customHeight="1">
      <c r="A18" s="21">
        <v>17.0</v>
      </c>
      <c r="B18" s="2">
        <v>17.0</v>
      </c>
      <c r="C18" s="2" t="s">
        <v>203</v>
      </c>
      <c r="D18" s="21">
        <v>5.0</v>
      </c>
      <c r="E18" s="17" t="str">
        <f>VLOOKUP(D18, moduli!$A$1:$B$6, 2, FALSE)</f>
        <v>API e Strutture dati</v>
      </c>
      <c r="F18" s="22" t="str">
        <f>VLOOKUP(VLOOKUP(D18,moduli[[id]:[id_uda]],3),uda[[id]:[titolo]],2)</f>
        <v>Architettura e Sviluppo di un Servizio Web</v>
      </c>
      <c r="G18" s="22" t="str">
        <f>VLOOKUP(VLOOKUP(D18,moduli[[id]:[id_uda]],3),uda[[id]:[alias_discipline]],4)</f>
        <v>TeP</v>
      </c>
    </row>
    <row r="19" ht="22.5" customHeight="1">
      <c r="A19" s="21">
        <v>18.0</v>
      </c>
      <c r="B19" s="2">
        <v>18.0</v>
      </c>
      <c r="C19" s="2" t="s">
        <v>204</v>
      </c>
      <c r="D19" s="21">
        <v>5.0</v>
      </c>
      <c r="E19" s="17" t="str">
        <f>VLOOKUP(D19, moduli!$A$1:$B$6, 2, FALSE)</f>
        <v>API e Strutture dati</v>
      </c>
      <c r="F19" s="22" t="str">
        <f>VLOOKUP(VLOOKUP(D19,moduli[[id]:[id_uda]],3),uda[[id]:[titolo]],2)</f>
        <v>Architettura e Sviluppo di un Servizio Web</v>
      </c>
      <c r="G19" s="22" t="str">
        <f>VLOOKUP(VLOOKUP(D19,moduli[[id]:[id_uda]],3),uda[[id]:[alias_discipline]],4)</f>
        <v>TeP</v>
      </c>
    </row>
  </sheetData>
  <dataValidations>
    <dataValidation type="custom" allowBlank="1" showDropDown="1" sqref="A2:A19 D2:D19">
      <formula1>AND(ISNUMBER(A2),(NOT(OR(NOT(ISERROR(DATEVALUE(A2))), AND(ISNUMBER(A2), LEFT(CELL("format", A2))="D")))))</formula1>
    </dataValidation>
  </dataValidations>
  <drawing r:id="rId1"/>
  <tableParts count="1">
    <tablePart r:id="rId3"/>
  </tableParts>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7.5"/>
    <col customWidth="1" min="2" max="2" width="106.13"/>
    <col customWidth="1" min="3" max="3" width="8.75"/>
    <col customWidth="1" min="4" max="4" width="10.88"/>
  </cols>
  <sheetData>
    <row r="1" ht="22.5" customHeight="1">
      <c r="A1" s="12" t="s">
        <v>0</v>
      </c>
      <c r="B1" s="23" t="s">
        <v>170</v>
      </c>
      <c r="C1" s="19" t="s">
        <v>205</v>
      </c>
      <c r="D1" s="12" t="s">
        <v>206</v>
      </c>
      <c r="E1" s="24"/>
      <c r="F1" s="24"/>
      <c r="G1" s="24"/>
      <c r="H1" s="24"/>
      <c r="I1" s="24"/>
      <c r="J1" s="24"/>
      <c r="K1" s="24"/>
      <c r="L1" s="24"/>
      <c r="M1" s="24"/>
      <c r="N1" s="24"/>
      <c r="O1" s="24"/>
      <c r="P1" s="24"/>
      <c r="Q1" s="24"/>
      <c r="R1" s="24"/>
      <c r="S1" s="24"/>
      <c r="T1" s="24"/>
      <c r="U1" s="24"/>
      <c r="V1" s="24"/>
      <c r="W1" s="24"/>
      <c r="X1" s="24"/>
      <c r="Y1" s="24"/>
      <c r="Z1" s="24"/>
      <c r="AA1" s="24"/>
    </row>
    <row r="2" ht="22.5" customHeight="1">
      <c r="A2" s="2">
        <v>1.0</v>
      </c>
      <c r="B2" s="25" t="s">
        <v>207</v>
      </c>
      <c r="C2" s="2">
        <v>1.0</v>
      </c>
      <c r="D2" s="2">
        <v>2.0</v>
      </c>
    </row>
    <row r="3" ht="22.5" customHeight="1">
      <c r="A3" s="2">
        <v>2.0</v>
      </c>
      <c r="B3" s="25" t="s">
        <v>208</v>
      </c>
      <c r="C3" s="2">
        <v>1.0</v>
      </c>
      <c r="D3" s="2">
        <v>2.0</v>
      </c>
    </row>
    <row r="4" ht="22.5" customHeight="1">
      <c r="A4" s="2">
        <v>3.0</v>
      </c>
      <c r="B4" s="25" t="s">
        <v>209</v>
      </c>
      <c r="C4" s="2">
        <v>1.0</v>
      </c>
      <c r="D4" s="2">
        <v>2.0</v>
      </c>
    </row>
    <row r="5" ht="22.5" customHeight="1">
      <c r="A5" s="2">
        <v>4.0</v>
      </c>
      <c r="B5" s="25" t="s">
        <v>210</v>
      </c>
      <c r="C5" s="2"/>
      <c r="D5" s="2">
        <v>2.0</v>
      </c>
    </row>
    <row r="6" ht="22.5" customHeight="1">
      <c r="A6" s="2">
        <v>5.0</v>
      </c>
      <c r="B6" s="25" t="s">
        <v>211</v>
      </c>
      <c r="C6" s="2"/>
      <c r="D6" s="2">
        <v>2.0</v>
      </c>
    </row>
    <row r="7" ht="22.5" customHeight="1">
      <c r="A7" s="2">
        <v>6.0</v>
      </c>
      <c r="B7" s="25" t="s">
        <v>212</v>
      </c>
      <c r="C7" s="2"/>
      <c r="D7" s="2">
        <v>2.0</v>
      </c>
    </row>
    <row r="8" ht="22.5" customHeight="1">
      <c r="A8" s="2">
        <v>7.0</v>
      </c>
      <c r="B8" s="25" t="s">
        <v>213</v>
      </c>
      <c r="C8" s="2"/>
      <c r="D8" s="2">
        <v>2.0</v>
      </c>
    </row>
    <row r="9" ht="22.5" customHeight="1">
      <c r="A9" s="2">
        <v>8.0</v>
      </c>
      <c r="B9" s="25" t="s">
        <v>214</v>
      </c>
      <c r="C9" s="2"/>
      <c r="D9" s="2">
        <v>2.0</v>
      </c>
    </row>
    <row r="10" ht="22.5" customHeight="1">
      <c r="A10" s="2">
        <v>9.0</v>
      </c>
      <c r="B10" s="25" t="s">
        <v>215</v>
      </c>
      <c r="C10" s="2"/>
      <c r="D10" s="2">
        <v>2.0</v>
      </c>
    </row>
    <row r="11" ht="22.5" customHeight="1">
      <c r="A11" s="2">
        <v>10.0</v>
      </c>
      <c r="B11" s="25" t="s">
        <v>216</v>
      </c>
      <c r="C11" s="2"/>
      <c r="D11" s="2">
        <v>2.0</v>
      </c>
    </row>
    <row r="12" ht="22.5" customHeight="1">
      <c r="A12" s="2">
        <v>11.0</v>
      </c>
      <c r="B12" s="25" t="s">
        <v>217</v>
      </c>
      <c r="C12" s="2"/>
      <c r="D12" s="2">
        <v>2.0</v>
      </c>
    </row>
    <row r="13" ht="22.5" customHeight="1">
      <c r="A13" s="2">
        <v>12.0</v>
      </c>
      <c r="B13" s="25" t="s">
        <v>218</v>
      </c>
      <c r="C13" s="2"/>
      <c r="D13" s="2">
        <v>2.0</v>
      </c>
    </row>
    <row r="14" ht="22.5" customHeight="1">
      <c r="A14" s="2">
        <v>13.0</v>
      </c>
      <c r="B14" s="25" t="s">
        <v>219</v>
      </c>
      <c r="C14" s="2"/>
      <c r="D14" s="2">
        <v>2.0</v>
      </c>
    </row>
    <row r="15" ht="22.5" customHeight="1">
      <c r="A15" s="2">
        <v>14.0</v>
      </c>
      <c r="B15" s="25" t="s">
        <v>220</v>
      </c>
      <c r="C15" s="2"/>
      <c r="D15" s="2">
        <v>2.0</v>
      </c>
    </row>
    <row r="16" ht="22.5" customHeight="1">
      <c r="A16" s="2">
        <v>15.0</v>
      </c>
      <c r="B16" s="25" t="s">
        <v>221</v>
      </c>
      <c r="C16" s="2"/>
      <c r="D16" s="2">
        <v>2.0</v>
      </c>
    </row>
    <row r="17" ht="22.5" customHeight="1">
      <c r="A17" s="2">
        <v>16.0</v>
      </c>
      <c r="B17" s="25" t="s">
        <v>222</v>
      </c>
      <c r="C17" s="2"/>
      <c r="D17" s="2">
        <v>2.0</v>
      </c>
    </row>
    <row r="18" ht="22.5" customHeight="1">
      <c r="A18" s="2">
        <v>17.0</v>
      </c>
      <c r="B18" s="25" t="s">
        <v>223</v>
      </c>
      <c r="C18" s="2"/>
      <c r="D18" s="2">
        <v>2.0</v>
      </c>
    </row>
    <row r="19" ht="22.5" customHeight="1">
      <c r="A19" s="2">
        <v>18.0</v>
      </c>
      <c r="B19" s="25" t="s">
        <v>224</v>
      </c>
      <c r="C19" s="2"/>
      <c r="D19" s="2">
        <v>2.0</v>
      </c>
    </row>
    <row r="20" ht="22.5" customHeight="1">
      <c r="A20" s="2">
        <v>19.0</v>
      </c>
      <c r="B20" s="25" t="s">
        <v>225</v>
      </c>
      <c r="C20" s="2"/>
      <c r="D20" s="2">
        <v>2.0</v>
      </c>
    </row>
    <row r="21" ht="22.5" customHeight="1">
      <c r="A21" s="2">
        <v>20.0</v>
      </c>
      <c r="B21" s="25" t="s">
        <v>226</v>
      </c>
      <c r="C21" s="2"/>
      <c r="D21" s="2">
        <v>2.0</v>
      </c>
    </row>
    <row r="22">
      <c r="B22" s="26"/>
    </row>
    <row r="23">
      <c r="B23" s="26"/>
    </row>
    <row r="24">
      <c r="B24" s="26"/>
    </row>
    <row r="25">
      <c r="B25" s="26"/>
    </row>
    <row r="26">
      <c r="B26" s="26"/>
    </row>
    <row r="27">
      <c r="B27" s="26"/>
    </row>
    <row r="28">
      <c r="B28" s="26"/>
    </row>
    <row r="29">
      <c r="B29" s="26"/>
    </row>
    <row r="30">
      <c r="B30" s="26"/>
    </row>
    <row r="31">
      <c r="B31" s="26"/>
    </row>
    <row r="32">
      <c r="B32" s="26"/>
    </row>
    <row r="33">
      <c r="B33" s="26"/>
    </row>
    <row r="34">
      <c r="B34" s="26"/>
    </row>
    <row r="35">
      <c r="B35" s="26"/>
    </row>
    <row r="36">
      <c r="B36" s="26"/>
    </row>
    <row r="37">
      <c r="B37" s="26"/>
    </row>
    <row r="38">
      <c r="B38" s="26"/>
    </row>
    <row r="39">
      <c r="B39" s="26"/>
    </row>
    <row r="40">
      <c r="B40" s="26"/>
    </row>
    <row r="41">
      <c r="B41" s="26"/>
    </row>
    <row r="42">
      <c r="B42" s="26"/>
    </row>
    <row r="43">
      <c r="B43" s="26"/>
    </row>
    <row r="44">
      <c r="B44" s="26"/>
    </row>
    <row r="45">
      <c r="B45" s="26"/>
    </row>
    <row r="46">
      <c r="B46" s="26"/>
    </row>
    <row r="47">
      <c r="B47" s="26"/>
    </row>
    <row r="48">
      <c r="B48" s="26"/>
    </row>
    <row r="49">
      <c r="B49" s="26"/>
    </row>
    <row r="50">
      <c r="B50" s="26"/>
    </row>
    <row r="51">
      <c r="B51" s="26"/>
    </row>
    <row r="52">
      <c r="B52" s="26"/>
    </row>
    <row r="53">
      <c r="B53" s="26"/>
    </row>
    <row r="54">
      <c r="B54" s="26"/>
    </row>
    <row r="55">
      <c r="B55" s="26"/>
    </row>
    <row r="56">
      <c r="B56" s="26"/>
    </row>
    <row r="57">
      <c r="B57" s="26"/>
    </row>
    <row r="58">
      <c r="B58" s="26"/>
    </row>
    <row r="59">
      <c r="B59" s="26"/>
    </row>
    <row r="60">
      <c r="B60" s="26"/>
    </row>
    <row r="61">
      <c r="B61" s="26"/>
    </row>
    <row r="62">
      <c r="B62" s="26"/>
    </row>
    <row r="63">
      <c r="B63" s="26"/>
    </row>
    <row r="64">
      <c r="B64" s="26"/>
    </row>
    <row r="65">
      <c r="B65" s="26"/>
    </row>
    <row r="66">
      <c r="B66" s="26"/>
    </row>
    <row r="67">
      <c r="B67" s="26"/>
    </row>
    <row r="68">
      <c r="B68" s="26"/>
    </row>
    <row r="69">
      <c r="B69" s="26"/>
    </row>
    <row r="70">
      <c r="B70" s="26"/>
    </row>
    <row r="71">
      <c r="B71" s="26"/>
    </row>
    <row r="72">
      <c r="B72" s="26"/>
    </row>
    <row r="73">
      <c r="B73" s="26"/>
    </row>
    <row r="74">
      <c r="B74" s="26"/>
    </row>
    <row r="75">
      <c r="B75" s="26"/>
    </row>
    <row r="76">
      <c r="B76" s="26"/>
    </row>
    <row r="77">
      <c r="B77" s="26"/>
    </row>
    <row r="78">
      <c r="B78" s="26"/>
    </row>
    <row r="79">
      <c r="B79" s="26"/>
    </row>
    <row r="80">
      <c r="B80" s="26"/>
    </row>
    <row r="81">
      <c r="B81" s="26"/>
    </row>
    <row r="82">
      <c r="B82" s="26"/>
    </row>
    <row r="83">
      <c r="B83" s="26"/>
    </row>
    <row r="84">
      <c r="B84" s="26"/>
    </row>
    <row r="85">
      <c r="B85" s="26"/>
    </row>
    <row r="86">
      <c r="B86" s="26"/>
    </row>
    <row r="87">
      <c r="B87" s="26"/>
    </row>
    <row r="88">
      <c r="B88" s="26"/>
    </row>
    <row r="89">
      <c r="B89" s="26"/>
    </row>
    <row r="90">
      <c r="B90" s="26"/>
    </row>
    <row r="91">
      <c r="B91" s="26"/>
    </row>
    <row r="92">
      <c r="B92" s="26"/>
    </row>
    <row r="93">
      <c r="B93" s="26"/>
    </row>
    <row r="94">
      <c r="B94" s="26"/>
    </row>
    <row r="95">
      <c r="B95" s="26"/>
    </row>
    <row r="96">
      <c r="B96" s="26"/>
    </row>
    <row r="97">
      <c r="B97" s="26"/>
    </row>
    <row r="98">
      <c r="B98" s="26"/>
    </row>
    <row r="99">
      <c r="B99" s="26"/>
    </row>
    <row r="100">
      <c r="B100" s="26"/>
    </row>
    <row r="101">
      <c r="B101" s="26"/>
    </row>
    <row r="102">
      <c r="B102" s="26"/>
    </row>
    <row r="103">
      <c r="B103" s="26"/>
    </row>
    <row r="104">
      <c r="B104" s="26"/>
    </row>
    <row r="105">
      <c r="B105" s="26"/>
    </row>
    <row r="106">
      <c r="B106" s="26"/>
    </row>
    <row r="107">
      <c r="B107" s="26"/>
    </row>
    <row r="108">
      <c r="B108" s="26"/>
    </row>
    <row r="109">
      <c r="B109" s="26"/>
    </row>
    <row r="110">
      <c r="B110" s="26"/>
    </row>
    <row r="111">
      <c r="B111" s="26"/>
    </row>
    <row r="112">
      <c r="B112" s="26"/>
    </row>
    <row r="113">
      <c r="B113" s="26"/>
    </row>
    <row r="114">
      <c r="B114" s="26"/>
    </row>
    <row r="115">
      <c r="B115" s="26"/>
    </row>
    <row r="116">
      <c r="B116" s="26"/>
    </row>
    <row r="117">
      <c r="B117" s="26"/>
    </row>
    <row r="118">
      <c r="B118" s="26"/>
    </row>
    <row r="119">
      <c r="B119" s="26"/>
    </row>
    <row r="120">
      <c r="B120" s="26"/>
    </row>
    <row r="121">
      <c r="B121" s="26"/>
    </row>
    <row r="122">
      <c r="B122" s="26"/>
    </row>
    <row r="123">
      <c r="B123" s="26"/>
    </row>
    <row r="124">
      <c r="B124" s="26"/>
    </row>
    <row r="125">
      <c r="B125" s="26"/>
    </row>
    <row r="126">
      <c r="B126" s="26"/>
    </row>
    <row r="127">
      <c r="B127" s="26"/>
    </row>
    <row r="128">
      <c r="B128" s="26"/>
    </row>
    <row r="129">
      <c r="B129" s="26"/>
    </row>
    <row r="130">
      <c r="B130" s="26"/>
    </row>
    <row r="131">
      <c r="B131" s="26"/>
    </row>
    <row r="132">
      <c r="B132" s="26"/>
    </row>
    <row r="133">
      <c r="B133" s="26"/>
    </row>
    <row r="134">
      <c r="B134" s="26"/>
    </row>
    <row r="135">
      <c r="B135" s="26"/>
    </row>
    <row r="136">
      <c r="B136" s="26"/>
    </row>
    <row r="137">
      <c r="B137" s="26"/>
    </row>
    <row r="138">
      <c r="B138" s="26"/>
    </row>
    <row r="139">
      <c r="B139" s="26"/>
    </row>
    <row r="140">
      <c r="B140" s="26"/>
    </row>
    <row r="141">
      <c r="B141" s="26"/>
    </row>
    <row r="142">
      <c r="B142" s="26"/>
    </row>
    <row r="143">
      <c r="B143" s="26"/>
    </row>
    <row r="144">
      <c r="B144" s="26"/>
    </row>
    <row r="145">
      <c r="B145" s="26"/>
    </row>
    <row r="146">
      <c r="B146" s="26"/>
    </row>
    <row r="147">
      <c r="B147" s="26"/>
    </row>
    <row r="148">
      <c r="B148" s="26"/>
    </row>
    <row r="149">
      <c r="B149" s="26"/>
    </row>
    <row r="150">
      <c r="B150" s="26"/>
    </row>
    <row r="151">
      <c r="B151" s="26"/>
    </row>
    <row r="152">
      <c r="B152" s="26"/>
    </row>
    <row r="153">
      <c r="B153" s="26"/>
    </row>
    <row r="154">
      <c r="B154" s="26"/>
    </row>
    <row r="155">
      <c r="B155" s="26"/>
    </row>
    <row r="156">
      <c r="B156" s="26"/>
    </row>
    <row r="157">
      <c r="B157" s="26"/>
    </row>
    <row r="158">
      <c r="B158" s="26"/>
    </row>
    <row r="159">
      <c r="B159" s="26"/>
    </row>
    <row r="160">
      <c r="B160" s="26"/>
    </row>
    <row r="161">
      <c r="B161" s="26"/>
    </row>
    <row r="162">
      <c r="B162" s="26"/>
    </row>
    <row r="163">
      <c r="B163" s="26"/>
    </row>
    <row r="164">
      <c r="B164" s="26"/>
    </row>
    <row r="165">
      <c r="B165" s="26"/>
    </row>
    <row r="166">
      <c r="B166" s="26"/>
    </row>
    <row r="167">
      <c r="B167" s="26"/>
    </row>
    <row r="168">
      <c r="B168" s="26"/>
    </row>
    <row r="169">
      <c r="B169" s="26"/>
    </row>
    <row r="170">
      <c r="B170" s="26"/>
    </row>
    <row r="171">
      <c r="B171" s="26"/>
    </row>
    <row r="172">
      <c r="B172" s="26"/>
    </row>
    <row r="173">
      <c r="B173" s="26"/>
    </row>
    <row r="174">
      <c r="B174" s="26"/>
    </row>
    <row r="175">
      <c r="B175" s="26"/>
    </row>
    <row r="176">
      <c r="B176" s="26"/>
    </row>
    <row r="177">
      <c r="B177" s="26"/>
    </row>
    <row r="178">
      <c r="B178" s="26"/>
    </row>
    <row r="179">
      <c r="B179" s="26"/>
    </row>
    <row r="180">
      <c r="B180" s="26"/>
    </row>
    <row r="181">
      <c r="B181" s="26"/>
    </row>
    <row r="182">
      <c r="B182" s="26"/>
    </row>
    <row r="183">
      <c r="B183" s="26"/>
    </row>
    <row r="184">
      <c r="B184" s="26"/>
    </row>
    <row r="185">
      <c r="B185" s="26"/>
    </row>
    <row r="186">
      <c r="B186" s="26"/>
    </row>
    <row r="187">
      <c r="B187" s="26"/>
    </row>
    <row r="188">
      <c r="B188" s="26"/>
    </row>
    <row r="189">
      <c r="B189" s="26"/>
    </row>
    <row r="190">
      <c r="B190" s="26"/>
    </row>
    <row r="191">
      <c r="B191" s="26"/>
    </row>
    <row r="192">
      <c r="B192" s="26"/>
    </row>
    <row r="193">
      <c r="B193" s="26"/>
    </row>
    <row r="194">
      <c r="B194" s="26"/>
    </row>
    <row r="195">
      <c r="B195" s="26"/>
    </row>
    <row r="196">
      <c r="B196" s="26"/>
    </row>
    <row r="197">
      <c r="B197" s="26"/>
    </row>
    <row r="198">
      <c r="B198" s="26"/>
    </row>
    <row r="199">
      <c r="B199" s="26"/>
    </row>
    <row r="200">
      <c r="B200" s="26"/>
    </row>
    <row r="201">
      <c r="B201" s="26"/>
    </row>
    <row r="202">
      <c r="B202" s="26"/>
    </row>
    <row r="203">
      <c r="B203" s="26"/>
    </row>
    <row r="204">
      <c r="B204" s="26"/>
    </row>
    <row r="205">
      <c r="B205" s="26"/>
    </row>
    <row r="206">
      <c r="B206" s="26"/>
    </row>
    <row r="207">
      <c r="B207" s="26"/>
    </row>
    <row r="208">
      <c r="B208" s="26"/>
    </row>
    <row r="209">
      <c r="B209" s="26"/>
    </row>
    <row r="210">
      <c r="B210" s="26"/>
    </row>
    <row r="211">
      <c r="B211" s="26"/>
    </row>
    <row r="212">
      <c r="B212" s="26"/>
    </row>
    <row r="213">
      <c r="B213" s="26"/>
    </row>
    <row r="214">
      <c r="B214" s="26"/>
    </row>
    <row r="215">
      <c r="B215" s="26"/>
    </row>
    <row r="216">
      <c r="B216" s="26"/>
    </row>
    <row r="217">
      <c r="B217" s="26"/>
    </row>
    <row r="218">
      <c r="B218" s="26"/>
    </row>
    <row r="219">
      <c r="B219" s="26"/>
    </row>
    <row r="220">
      <c r="B220" s="26"/>
    </row>
    <row r="221">
      <c r="B221" s="26"/>
    </row>
    <row r="222">
      <c r="B222" s="26"/>
    </row>
    <row r="223">
      <c r="B223" s="26"/>
    </row>
    <row r="224">
      <c r="B224" s="26"/>
    </row>
    <row r="225">
      <c r="B225" s="26"/>
    </row>
    <row r="226">
      <c r="B226" s="26"/>
    </row>
    <row r="227">
      <c r="B227" s="26"/>
    </row>
    <row r="228">
      <c r="B228" s="26"/>
    </row>
    <row r="229">
      <c r="B229" s="26"/>
    </row>
    <row r="230">
      <c r="B230" s="26"/>
    </row>
    <row r="231">
      <c r="B231" s="26"/>
    </row>
    <row r="232">
      <c r="B232" s="26"/>
    </row>
    <row r="233">
      <c r="B233" s="26"/>
    </row>
    <row r="234">
      <c r="B234" s="26"/>
    </row>
    <row r="235">
      <c r="B235" s="26"/>
    </row>
    <row r="236">
      <c r="B236" s="26"/>
    </row>
    <row r="237">
      <c r="B237" s="26"/>
    </row>
    <row r="238">
      <c r="B238" s="26"/>
    </row>
    <row r="239">
      <c r="B239" s="26"/>
    </row>
    <row r="240">
      <c r="B240" s="26"/>
    </row>
    <row r="241">
      <c r="B241" s="26"/>
    </row>
    <row r="242">
      <c r="B242" s="26"/>
    </row>
    <row r="243">
      <c r="B243" s="26"/>
    </row>
    <row r="244">
      <c r="B244" s="26"/>
    </row>
    <row r="245">
      <c r="B245" s="26"/>
    </row>
    <row r="246">
      <c r="B246" s="26"/>
    </row>
    <row r="247">
      <c r="B247" s="26"/>
    </row>
    <row r="248">
      <c r="B248" s="26"/>
    </row>
    <row r="249">
      <c r="B249" s="26"/>
    </row>
    <row r="250">
      <c r="B250" s="26"/>
    </row>
    <row r="251">
      <c r="B251" s="26"/>
    </row>
    <row r="252">
      <c r="B252" s="26"/>
    </row>
    <row r="253">
      <c r="B253" s="26"/>
    </row>
    <row r="254">
      <c r="B254" s="26"/>
    </row>
    <row r="255">
      <c r="B255" s="26"/>
    </row>
    <row r="256">
      <c r="B256" s="26"/>
    </row>
    <row r="257">
      <c r="B257" s="26"/>
    </row>
    <row r="258">
      <c r="B258" s="26"/>
    </row>
    <row r="259">
      <c r="B259" s="26"/>
    </row>
    <row r="260">
      <c r="B260" s="26"/>
    </row>
    <row r="261">
      <c r="B261" s="26"/>
    </row>
    <row r="262">
      <c r="B262" s="26"/>
    </row>
    <row r="263">
      <c r="B263" s="26"/>
    </row>
    <row r="264">
      <c r="B264" s="26"/>
    </row>
    <row r="265">
      <c r="B265" s="26"/>
    </row>
    <row r="266">
      <c r="B266" s="26"/>
    </row>
    <row r="267">
      <c r="B267" s="26"/>
    </row>
    <row r="268">
      <c r="B268" s="26"/>
    </row>
    <row r="269">
      <c r="B269" s="26"/>
    </row>
    <row r="270">
      <c r="B270" s="26"/>
    </row>
    <row r="271">
      <c r="B271" s="26"/>
    </row>
    <row r="272">
      <c r="B272" s="26"/>
    </row>
    <row r="273">
      <c r="B273" s="26"/>
    </row>
    <row r="274">
      <c r="B274" s="26"/>
    </row>
    <row r="275">
      <c r="B275" s="26"/>
    </row>
    <row r="276">
      <c r="B276" s="26"/>
    </row>
    <row r="277">
      <c r="B277" s="26"/>
    </row>
    <row r="278">
      <c r="B278" s="26"/>
    </row>
    <row r="279">
      <c r="B279" s="26"/>
    </row>
    <row r="280">
      <c r="B280" s="26"/>
    </row>
    <row r="281">
      <c r="B281" s="26"/>
    </row>
    <row r="282">
      <c r="B282" s="26"/>
    </row>
    <row r="283">
      <c r="B283" s="26"/>
    </row>
    <row r="284">
      <c r="B284" s="26"/>
    </row>
    <row r="285">
      <c r="B285" s="26"/>
    </row>
    <row r="286">
      <c r="B286" s="26"/>
    </row>
    <row r="287">
      <c r="B287" s="26"/>
    </row>
    <row r="288">
      <c r="B288" s="26"/>
    </row>
    <row r="289">
      <c r="B289" s="26"/>
    </row>
    <row r="290">
      <c r="B290" s="26"/>
    </row>
    <row r="291">
      <c r="B291" s="26"/>
    </row>
    <row r="292">
      <c r="B292" s="26"/>
    </row>
    <row r="293">
      <c r="B293" s="26"/>
    </row>
    <row r="294">
      <c r="B294" s="26"/>
    </row>
    <row r="295">
      <c r="B295" s="26"/>
    </row>
    <row r="296">
      <c r="B296" s="26"/>
    </row>
    <row r="297">
      <c r="B297" s="26"/>
    </row>
    <row r="298">
      <c r="B298" s="26"/>
    </row>
    <row r="299">
      <c r="B299" s="26"/>
    </row>
    <row r="300">
      <c r="B300" s="26"/>
    </row>
    <row r="301">
      <c r="B301" s="26"/>
    </row>
    <row r="302">
      <c r="B302" s="26"/>
    </row>
    <row r="303">
      <c r="B303" s="26"/>
    </row>
    <row r="304">
      <c r="B304" s="26"/>
    </row>
    <row r="305">
      <c r="B305" s="26"/>
    </row>
    <row r="306">
      <c r="B306" s="26"/>
    </row>
    <row r="307">
      <c r="B307" s="26"/>
    </row>
    <row r="308">
      <c r="B308" s="26"/>
    </row>
    <row r="309">
      <c r="B309" s="26"/>
    </row>
    <row r="310">
      <c r="B310" s="26"/>
    </row>
    <row r="311">
      <c r="B311" s="26"/>
    </row>
    <row r="312">
      <c r="B312" s="26"/>
    </row>
    <row r="313">
      <c r="B313" s="26"/>
    </row>
    <row r="314">
      <c r="B314" s="26"/>
    </row>
    <row r="315">
      <c r="B315" s="26"/>
    </row>
    <row r="316">
      <c r="B316" s="26"/>
    </row>
    <row r="317">
      <c r="B317" s="26"/>
    </row>
    <row r="318">
      <c r="B318" s="26"/>
    </row>
    <row r="319">
      <c r="B319" s="26"/>
    </row>
    <row r="320">
      <c r="B320" s="26"/>
    </row>
    <row r="321">
      <c r="B321" s="26"/>
    </row>
    <row r="322">
      <c r="B322" s="26"/>
    </row>
    <row r="323">
      <c r="B323" s="26"/>
    </row>
    <row r="324">
      <c r="B324" s="26"/>
    </row>
    <row r="325">
      <c r="B325" s="26"/>
    </row>
    <row r="326">
      <c r="B326" s="26"/>
    </row>
    <row r="327">
      <c r="B327" s="26"/>
    </row>
    <row r="328">
      <c r="B328" s="26"/>
    </row>
    <row r="329">
      <c r="B329" s="26"/>
    </row>
    <row r="330">
      <c r="B330" s="26"/>
    </row>
    <row r="331">
      <c r="B331" s="26"/>
    </row>
    <row r="332">
      <c r="B332" s="26"/>
    </row>
    <row r="333">
      <c r="B333" s="26"/>
    </row>
    <row r="334">
      <c r="B334" s="26"/>
    </row>
    <row r="335">
      <c r="B335" s="26"/>
    </row>
    <row r="336">
      <c r="B336" s="26"/>
    </row>
    <row r="337">
      <c r="B337" s="26"/>
    </row>
    <row r="338">
      <c r="B338" s="26"/>
    </row>
    <row r="339">
      <c r="B339" s="26"/>
    </row>
    <row r="340">
      <c r="B340" s="26"/>
    </row>
    <row r="341">
      <c r="B341" s="26"/>
    </row>
    <row r="342">
      <c r="B342" s="26"/>
    </row>
    <row r="343">
      <c r="B343" s="26"/>
    </row>
    <row r="344">
      <c r="B344" s="26"/>
    </row>
    <row r="345">
      <c r="B345" s="26"/>
    </row>
    <row r="346">
      <c r="B346" s="26"/>
    </row>
    <row r="347">
      <c r="B347" s="26"/>
    </row>
    <row r="348">
      <c r="B348" s="26"/>
    </row>
    <row r="349">
      <c r="B349" s="26"/>
    </row>
    <row r="350">
      <c r="B350" s="26"/>
    </row>
    <row r="351">
      <c r="B351" s="26"/>
    </row>
    <row r="352">
      <c r="B352" s="26"/>
    </row>
    <row r="353">
      <c r="B353" s="26"/>
    </row>
    <row r="354">
      <c r="B354" s="26"/>
    </row>
    <row r="355">
      <c r="B355" s="26"/>
    </row>
    <row r="356">
      <c r="B356" s="26"/>
    </row>
    <row r="357">
      <c r="B357" s="26"/>
    </row>
    <row r="358">
      <c r="B358" s="26"/>
    </row>
    <row r="359">
      <c r="B359" s="26"/>
    </row>
    <row r="360">
      <c r="B360" s="26"/>
    </row>
    <row r="361">
      <c r="B361" s="26"/>
    </row>
    <row r="362">
      <c r="B362" s="26"/>
    </row>
    <row r="363">
      <c r="B363" s="26"/>
    </row>
    <row r="364">
      <c r="B364" s="26"/>
    </row>
    <row r="365">
      <c r="B365" s="26"/>
    </row>
    <row r="366">
      <c r="B366" s="26"/>
    </row>
    <row r="367">
      <c r="B367" s="26"/>
    </row>
    <row r="368">
      <c r="B368" s="26"/>
    </row>
    <row r="369">
      <c r="B369" s="26"/>
    </row>
    <row r="370">
      <c r="B370" s="26"/>
    </row>
    <row r="371">
      <c r="B371" s="26"/>
    </row>
    <row r="372">
      <c r="B372" s="26"/>
    </row>
    <row r="373">
      <c r="B373" s="26"/>
    </row>
    <row r="374">
      <c r="B374" s="26"/>
    </row>
    <row r="375">
      <c r="B375" s="26"/>
    </row>
    <row r="376">
      <c r="B376" s="26"/>
    </row>
    <row r="377">
      <c r="B377" s="26"/>
    </row>
    <row r="378">
      <c r="B378" s="26"/>
    </row>
    <row r="379">
      <c r="B379" s="26"/>
    </row>
    <row r="380">
      <c r="B380" s="26"/>
    </row>
    <row r="381">
      <c r="B381" s="26"/>
    </row>
    <row r="382">
      <c r="B382" s="26"/>
    </row>
    <row r="383">
      <c r="B383" s="26"/>
    </row>
    <row r="384">
      <c r="B384" s="26"/>
    </row>
    <row r="385">
      <c r="B385" s="26"/>
    </row>
    <row r="386">
      <c r="B386" s="26"/>
    </row>
    <row r="387">
      <c r="B387" s="26"/>
    </row>
    <row r="388">
      <c r="B388" s="26"/>
    </row>
    <row r="389">
      <c r="B389" s="26"/>
    </row>
    <row r="390">
      <c r="B390" s="26"/>
    </row>
    <row r="391">
      <c r="B391" s="26"/>
    </row>
    <row r="392">
      <c r="B392" s="26"/>
    </row>
    <row r="393">
      <c r="B393" s="26"/>
    </row>
    <row r="394">
      <c r="B394" s="26"/>
    </row>
    <row r="395">
      <c r="B395" s="26"/>
    </row>
    <row r="396">
      <c r="B396" s="26"/>
    </row>
    <row r="397">
      <c r="B397" s="26"/>
    </row>
    <row r="398">
      <c r="B398" s="26"/>
    </row>
    <row r="399">
      <c r="B399" s="26"/>
    </row>
    <row r="400">
      <c r="B400" s="26"/>
    </row>
    <row r="401">
      <c r="B401" s="26"/>
    </row>
    <row r="402">
      <c r="B402" s="26"/>
    </row>
    <row r="403">
      <c r="B403" s="26"/>
    </row>
    <row r="404">
      <c r="B404" s="26"/>
    </row>
    <row r="405">
      <c r="B405" s="26"/>
    </row>
    <row r="406">
      <c r="B406" s="26"/>
    </row>
    <row r="407">
      <c r="B407" s="26"/>
    </row>
    <row r="408">
      <c r="B408" s="26"/>
    </row>
    <row r="409">
      <c r="B409" s="26"/>
    </row>
    <row r="410">
      <c r="B410" s="26"/>
    </row>
    <row r="411">
      <c r="B411" s="26"/>
    </row>
    <row r="412">
      <c r="B412" s="26"/>
    </row>
    <row r="413">
      <c r="B413" s="26"/>
    </row>
    <row r="414">
      <c r="B414" s="26"/>
    </row>
    <row r="415">
      <c r="B415" s="26"/>
    </row>
    <row r="416">
      <c r="B416" s="26"/>
    </row>
    <row r="417">
      <c r="B417" s="26"/>
    </row>
    <row r="418">
      <c r="B418" s="26"/>
    </row>
    <row r="419">
      <c r="B419" s="26"/>
    </row>
    <row r="420">
      <c r="B420" s="26"/>
    </row>
    <row r="421">
      <c r="B421" s="26"/>
    </row>
    <row r="422">
      <c r="B422" s="26"/>
    </row>
    <row r="423">
      <c r="B423" s="26"/>
    </row>
    <row r="424">
      <c r="B424" s="26"/>
    </row>
    <row r="425">
      <c r="B425" s="26"/>
    </row>
    <row r="426">
      <c r="B426" s="26"/>
    </row>
    <row r="427">
      <c r="B427" s="26"/>
    </row>
    <row r="428">
      <c r="B428" s="26"/>
    </row>
    <row r="429">
      <c r="B429" s="26"/>
    </row>
    <row r="430">
      <c r="B430" s="26"/>
    </row>
    <row r="431">
      <c r="B431" s="26"/>
    </row>
    <row r="432">
      <c r="B432" s="26"/>
    </row>
    <row r="433">
      <c r="B433" s="26"/>
    </row>
    <row r="434">
      <c r="B434" s="26"/>
    </row>
    <row r="435">
      <c r="B435" s="26"/>
    </row>
    <row r="436">
      <c r="B436" s="26"/>
    </row>
    <row r="437">
      <c r="B437" s="26"/>
    </row>
    <row r="438">
      <c r="B438" s="26"/>
    </row>
    <row r="439">
      <c r="B439" s="26"/>
    </row>
    <row r="440">
      <c r="B440" s="26"/>
    </row>
    <row r="441">
      <c r="B441" s="26"/>
    </row>
    <row r="442">
      <c r="B442" s="26"/>
    </row>
    <row r="443">
      <c r="B443" s="26"/>
    </row>
    <row r="444">
      <c r="B444" s="26"/>
    </row>
    <row r="445">
      <c r="B445" s="26"/>
    </row>
    <row r="446">
      <c r="B446" s="26"/>
    </row>
    <row r="447">
      <c r="B447" s="26"/>
    </row>
    <row r="448">
      <c r="B448" s="26"/>
    </row>
    <row r="449">
      <c r="B449" s="26"/>
    </row>
    <row r="450">
      <c r="B450" s="26"/>
    </row>
    <row r="451">
      <c r="B451" s="26"/>
    </row>
    <row r="452">
      <c r="B452" s="26"/>
    </row>
    <row r="453">
      <c r="B453" s="26"/>
    </row>
    <row r="454">
      <c r="B454" s="26"/>
    </row>
    <row r="455">
      <c r="B455" s="26"/>
    </row>
    <row r="456">
      <c r="B456" s="26"/>
    </row>
    <row r="457">
      <c r="B457" s="26"/>
    </row>
    <row r="458">
      <c r="B458" s="26"/>
    </row>
    <row r="459">
      <c r="B459" s="26"/>
    </row>
    <row r="460">
      <c r="B460" s="26"/>
    </row>
    <row r="461">
      <c r="B461" s="26"/>
    </row>
    <row r="462">
      <c r="B462" s="26"/>
    </row>
    <row r="463">
      <c r="B463" s="26"/>
    </row>
    <row r="464">
      <c r="B464" s="26"/>
    </row>
    <row r="465">
      <c r="B465" s="26"/>
    </row>
    <row r="466">
      <c r="B466" s="26"/>
    </row>
    <row r="467">
      <c r="B467" s="26"/>
    </row>
    <row r="468">
      <c r="B468" s="26"/>
    </row>
    <row r="469">
      <c r="B469" s="26"/>
    </row>
    <row r="470">
      <c r="B470" s="26"/>
    </row>
    <row r="471">
      <c r="B471" s="26"/>
    </row>
    <row r="472">
      <c r="B472" s="26"/>
    </row>
    <row r="473">
      <c r="B473" s="26"/>
    </row>
    <row r="474">
      <c r="B474" s="26"/>
    </row>
    <row r="475">
      <c r="B475" s="26"/>
    </row>
    <row r="476">
      <c r="B476" s="26"/>
    </row>
    <row r="477">
      <c r="B477" s="26"/>
    </row>
    <row r="478">
      <c r="B478" s="26"/>
    </row>
    <row r="479">
      <c r="B479" s="26"/>
    </row>
    <row r="480">
      <c r="B480" s="26"/>
    </row>
    <row r="481">
      <c r="B481" s="26"/>
    </row>
    <row r="482">
      <c r="B482" s="26"/>
    </row>
    <row r="483">
      <c r="B483" s="26"/>
    </row>
    <row r="484">
      <c r="B484" s="26"/>
    </row>
    <row r="485">
      <c r="B485" s="26"/>
    </row>
    <row r="486">
      <c r="B486" s="26"/>
    </row>
    <row r="487">
      <c r="B487" s="26"/>
    </row>
    <row r="488">
      <c r="B488" s="26"/>
    </row>
    <row r="489">
      <c r="B489" s="26"/>
    </row>
    <row r="490">
      <c r="B490" s="26"/>
    </row>
    <row r="491">
      <c r="B491" s="26"/>
    </row>
    <row r="492">
      <c r="B492" s="26"/>
    </row>
    <row r="493">
      <c r="B493" s="26"/>
    </row>
    <row r="494">
      <c r="B494" s="26"/>
    </row>
    <row r="495">
      <c r="B495" s="26"/>
    </row>
    <row r="496">
      <c r="B496" s="26"/>
    </row>
    <row r="497">
      <c r="B497" s="26"/>
    </row>
    <row r="498">
      <c r="B498" s="26"/>
    </row>
    <row r="499">
      <c r="B499" s="26"/>
    </row>
    <row r="500">
      <c r="B500" s="26"/>
    </row>
    <row r="501">
      <c r="B501" s="26"/>
    </row>
    <row r="502">
      <c r="B502" s="26"/>
    </row>
    <row r="503">
      <c r="B503" s="26"/>
    </row>
    <row r="504">
      <c r="B504" s="26"/>
    </row>
    <row r="505">
      <c r="B505" s="26"/>
    </row>
    <row r="506">
      <c r="B506" s="26"/>
    </row>
    <row r="507">
      <c r="B507" s="26"/>
    </row>
    <row r="508">
      <c r="B508" s="26"/>
    </row>
    <row r="509">
      <c r="B509" s="26"/>
    </row>
    <row r="510">
      <c r="B510" s="26"/>
    </row>
    <row r="511">
      <c r="B511" s="26"/>
    </row>
    <row r="512">
      <c r="B512" s="26"/>
    </row>
    <row r="513">
      <c r="B513" s="26"/>
    </row>
    <row r="514">
      <c r="B514" s="26"/>
    </row>
    <row r="515">
      <c r="B515" s="26"/>
    </row>
    <row r="516">
      <c r="B516" s="26"/>
    </row>
    <row r="517">
      <c r="B517" s="26"/>
    </row>
    <row r="518">
      <c r="B518" s="26"/>
    </row>
    <row r="519">
      <c r="B519" s="26"/>
    </row>
    <row r="520">
      <c r="B520" s="26"/>
    </row>
    <row r="521">
      <c r="B521" s="26"/>
    </row>
    <row r="522">
      <c r="B522" s="26"/>
    </row>
    <row r="523">
      <c r="B523" s="26"/>
    </row>
    <row r="524">
      <c r="B524" s="26"/>
    </row>
    <row r="525">
      <c r="B525" s="26"/>
    </row>
    <row r="526">
      <c r="B526" s="26"/>
    </row>
    <row r="527">
      <c r="B527" s="26"/>
    </row>
    <row r="528">
      <c r="B528" s="26"/>
    </row>
    <row r="529">
      <c r="B529" s="26"/>
    </row>
    <row r="530">
      <c r="B530" s="26"/>
    </row>
    <row r="531">
      <c r="B531" s="26"/>
    </row>
    <row r="532">
      <c r="B532" s="26"/>
    </row>
    <row r="533">
      <c r="B533" s="26"/>
    </row>
    <row r="534">
      <c r="B534" s="26"/>
    </row>
    <row r="535">
      <c r="B535" s="26"/>
    </row>
    <row r="536">
      <c r="B536" s="26"/>
    </row>
    <row r="537">
      <c r="B537" s="26"/>
    </row>
    <row r="538">
      <c r="B538" s="26"/>
    </row>
    <row r="539">
      <c r="B539" s="26"/>
    </row>
    <row r="540">
      <c r="B540" s="26"/>
    </row>
    <row r="541">
      <c r="B541" s="26"/>
    </row>
    <row r="542">
      <c r="B542" s="26"/>
    </row>
    <row r="543">
      <c r="B543" s="26"/>
    </row>
    <row r="544">
      <c r="B544" s="26"/>
    </row>
    <row r="545">
      <c r="B545" s="26"/>
    </row>
    <row r="546">
      <c r="B546" s="26"/>
    </row>
    <row r="547">
      <c r="B547" s="26"/>
    </row>
    <row r="548">
      <c r="B548" s="26"/>
    </row>
    <row r="549">
      <c r="B549" s="26"/>
    </row>
    <row r="550">
      <c r="B550" s="26"/>
    </row>
    <row r="551">
      <c r="B551" s="26"/>
    </row>
    <row r="552">
      <c r="B552" s="26"/>
    </row>
    <row r="553">
      <c r="B553" s="26"/>
    </row>
    <row r="554">
      <c r="B554" s="26"/>
    </row>
    <row r="555">
      <c r="B555" s="26"/>
    </row>
    <row r="556">
      <c r="B556" s="26"/>
    </row>
    <row r="557">
      <c r="B557" s="26"/>
    </row>
    <row r="558">
      <c r="B558" s="26"/>
    </row>
    <row r="559">
      <c r="B559" s="26"/>
    </row>
    <row r="560">
      <c r="B560" s="26"/>
    </row>
    <row r="561">
      <c r="B561" s="26"/>
    </row>
    <row r="562">
      <c r="B562" s="26"/>
    </row>
    <row r="563">
      <c r="B563" s="26"/>
    </row>
    <row r="564">
      <c r="B564" s="26"/>
    </row>
    <row r="565">
      <c r="B565" s="26"/>
    </row>
    <row r="566">
      <c r="B566" s="26"/>
    </row>
    <row r="567">
      <c r="B567" s="26"/>
    </row>
    <row r="568">
      <c r="B568" s="26"/>
    </row>
    <row r="569">
      <c r="B569" s="26"/>
    </row>
    <row r="570">
      <c r="B570" s="26"/>
    </row>
    <row r="571">
      <c r="B571" s="26"/>
    </row>
    <row r="572">
      <c r="B572" s="26"/>
    </row>
    <row r="573">
      <c r="B573" s="26"/>
    </row>
    <row r="574">
      <c r="B574" s="26"/>
    </row>
    <row r="575">
      <c r="B575" s="26"/>
    </row>
    <row r="576">
      <c r="B576" s="26"/>
    </row>
    <row r="577">
      <c r="B577" s="26"/>
    </row>
    <row r="578">
      <c r="B578" s="26"/>
    </row>
    <row r="579">
      <c r="B579" s="26"/>
    </row>
    <row r="580">
      <c r="B580" s="26"/>
    </row>
    <row r="581">
      <c r="B581" s="26"/>
    </row>
    <row r="582">
      <c r="B582" s="26"/>
    </row>
    <row r="583">
      <c r="B583" s="26"/>
    </row>
    <row r="584">
      <c r="B584" s="26"/>
    </row>
    <row r="585">
      <c r="B585" s="26"/>
    </row>
    <row r="586">
      <c r="B586" s="26"/>
    </row>
    <row r="587">
      <c r="B587" s="26"/>
    </row>
    <row r="588">
      <c r="B588" s="26"/>
    </row>
    <row r="589">
      <c r="B589" s="26"/>
    </row>
    <row r="590">
      <c r="B590" s="26"/>
    </row>
    <row r="591">
      <c r="B591" s="26"/>
    </row>
    <row r="592">
      <c r="B592" s="26"/>
    </row>
    <row r="593">
      <c r="B593" s="26"/>
    </row>
    <row r="594">
      <c r="B594" s="26"/>
    </row>
    <row r="595">
      <c r="B595" s="26"/>
    </row>
    <row r="596">
      <c r="B596" s="26"/>
    </row>
    <row r="597">
      <c r="B597" s="26"/>
    </row>
    <row r="598">
      <c r="B598" s="26"/>
    </row>
    <row r="599">
      <c r="B599" s="26"/>
    </row>
    <row r="600">
      <c r="B600" s="26"/>
    </row>
    <row r="601">
      <c r="B601" s="26"/>
    </row>
    <row r="602">
      <c r="B602" s="26"/>
    </row>
    <row r="603">
      <c r="B603" s="26"/>
    </row>
    <row r="604">
      <c r="B604" s="26"/>
    </row>
    <row r="605">
      <c r="B605" s="26"/>
    </row>
    <row r="606">
      <c r="B606" s="26"/>
    </row>
    <row r="607">
      <c r="B607" s="26"/>
    </row>
    <row r="608">
      <c r="B608" s="26"/>
    </row>
    <row r="609">
      <c r="B609" s="26"/>
    </row>
    <row r="610">
      <c r="B610" s="26"/>
    </row>
    <row r="611">
      <c r="B611" s="26"/>
    </row>
    <row r="612">
      <c r="B612" s="26"/>
    </row>
    <row r="613">
      <c r="B613" s="26"/>
    </row>
    <row r="614">
      <c r="B614" s="26"/>
    </row>
    <row r="615">
      <c r="B615" s="26"/>
    </row>
    <row r="616">
      <c r="B616" s="26"/>
    </row>
    <row r="617">
      <c r="B617" s="26"/>
    </row>
    <row r="618">
      <c r="B618" s="26"/>
    </row>
    <row r="619">
      <c r="B619" s="26"/>
    </row>
    <row r="620">
      <c r="B620" s="26"/>
    </row>
    <row r="621">
      <c r="B621" s="26"/>
    </row>
    <row r="622">
      <c r="B622" s="26"/>
    </row>
    <row r="623">
      <c r="B623" s="26"/>
    </row>
    <row r="624">
      <c r="B624" s="26"/>
    </row>
    <row r="625">
      <c r="B625" s="26"/>
    </row>
    <row r="626">
      <c r="B626" s="26"/>
    </row>
    <row r="627">
      <c r="B627" s="26"/>
    </row>
    <row r="628">
      <c r="B628" s="26"/>
    </row>
    <row r="629">
      <c r="B629" s="26"/>
    </row>
    <row r="630">
      <c r="B630" s="26"/>
    </row>
    <row r="631">
      <c r="B631" s="26"/>
    </row>
    <row r="632">
      <c r="B632" s="26"/>
    </row>
    <row r="633">
      <c r="B633" s="26"/>
    </row>
    <row r="634">
      <c r="B634" s="26"/>
    </row>
    <row r="635">
      <c r="B635" s="26"/>
    </row>
    <row r="636">
      <c r="B636" s="26"/>
    </row>
    <row r="637">
      <c r="B637" s="26"/>
    </row>
    <row r="638">
      <c r="B638" s="26"/>
    </row>
    <row r="639">
      <c r="B639" s="26"/>
    </row>
    <row r="640">
      <c r="B640" s="26"/>
    </row>
    <row r="641">
      <c r="B641" s="26"/>
    </row>
    <row r="642">
      <c r="B642" s="26"/>
    </row>
    <row r="643">
      <c r="B643" s="26"/>
    </row>
    <row r="644">
      <c r="B644" s="26"/>
    </row>
    <row r="645">
      <c r="B645" s="26"/>
    </row>
    <row r="646">
      <c r="B646" s="26"/>
    </row>
    <row r="647">
      <c r="B647" s="26"/>
    </row>
    <row r="648">
      <c r="B648" s="26"/>
    </row>
    <row r="649">
      <c r="B649" s="26"/>
    </row>
    <row r="650">
      <c r="B650" s="26"/>
    </row>
    <row r="651">
      <c r="B651" s="26"/>
    </row>
    <row r="652">
      <c r="B652" s="26"/>
    </row>
    <row r="653">
      <c r="B653" s="26"/>
    </row>
    <row r="654">
      <c r="B654" s="26"/>
    </row>
    <row r="655">
      <c r="B655" s="26"/>
    </row>
    <row r="656">
      <c r="B656" s="26"/>
    </row>
    <row r="657">
      <c r="B657" s="26"/>
    </row>
    <row r="658">
      <c r="B658" s="26"/>
    </row>
    <row r="659">
      <c r="B659" s="26"/>
    </row>
    <row r="660">
      <c r="B660" s="26"/>
    </row>
    <row r="661">
      <c r="B661" s="26"/>
    </row>
    <row r="662">
      <c r="B662" s="26"/>
    </row>
    <row r="663">
      <c r="B663" s="26"/>
    </row>
    <row r="664">
      <c r="B664" s="26"/>
    </row>
    <row r="665">
      <c r="B665" s="26"/>
    </row>
    <row r="666">
      <c r="B666" s="26"/>
    </row>
    <row r="667">
      <c r="B667" s="26"/>
    </row>
    <row r="668">
      <c r="B668" s="26"/>
    </row>
    <row r="669">
      <c r="B669" s="26"/>
    </row>
    <row r="670">
      <c r="B670" s="26"/>
    </row>
    <row r="671">
      <c r="B671" s="26"/>
    </row>
    <row r="672">
      <c r="B672" s="26"/>
    </row>
    <row r="673">
      <c r="B673" s="26"/>
    </row>
    <row r="674">
      <c r="B674" s="26"/>
    </row>
    <row r="675">
      <c r="B675" s="26"/>
    </row>
    <row r="676">
      <c r="B676" s="26"/>
    </row>
    <row r="677">
      <c r="B677" s="26"/>
    </row>
    <row r="678">
      <c r="B678" s="26"/>
    </row>
    <row r="679">
      <c r="B679" s="26"/>
    </row>
    <row r="680">
      <c r="B680" s="26"/>
    </row>
    <row r="681">
      <c r="B681" s="26"/>
    </row>
    <row r="682">
      <c r="B682" s="26"/>
    </row>
    <row r="683">
      <c r="B683" s="26"/>
    </row>
    <row r="684">
      <c r="B684" s="26"/>
    </row>
    <row r="685">
      <c r="B685" s="26"/>
    </row>
    <row r="686">
      <c r="B686" s="26"/>
    </row>
    <row r="687">
      <c r="B687" s="26"/>
    </row>
    <row r="688">
      <c r="B688" s="26"/>
    </row>
    <row r="689">
      <c r="B689" s="26"/>
    </row>
    <row r="690">
      <c r="B690" s="26"/>
    </row>
    <row r="691">
      <c r="B691" s="26"/>
    </row>
    <row r="692">
      <c r="B692" s="26"/>
    </row>
    <row r="693">
      <c r="B693" s="26"/>
    </row>
    <row r="694">
      <c r="B694" s="26"/>
    </row>
    <row r="695">
      <c r="B695" s="26"/>
    </row>
    <row r="696">
      <c r="B696" s="26"/>
    </row>
    <row r="697">
      <c r="B697" s="26"/>
    </row>
    <row r="698">
      <c r="B698" s="26"/>
    </row>
    <row r="699">
      <c r="B699" s="26"/>
    </row>
    <row r="700">
      <c r="B700" s="26"/>
    </row>
    <row r="701">
      <c r="B701" s="26"/>
    </row>
    <row r="702">
      <c r="B702" s="26"/>
    </row>
    <row r="703">
      <c r="B703" s="26"/>
    </row>
    <row r="704">
      <c r="B704" s="26"/>
    </row>
    <row r="705">
      <c r="B705" s="26"/>
    </row>
    <row r="706">
      <c r="B706" s="26"/>
    </row>
    <row r="707">
      <c r="B707" s="26"/>
    </row>
    <row r="708">
      <c r="B708" s="26"/>
    </row>
    <row r="709">
      <c r="B709" s="26"/>
    </row>
    <row r="710">
      <c r="B710" s="26"/>
    </row>
    <row r="711">
      <c r="B711" s="26"/>
    </row>
    <row r="712">
      <c r="B712" s="26"/>
    </row>
    <row r="713">
      <c r="B713" s="26"/>
    </row>
    <row r="714">
      <c r="B714" s="26"/>
    </row>
    <row r="715">
      <c r="B715" s="26"/>
    </row>
    <row r="716">
      <c r="B716" s="26"/>
    </row>
    <row r="717">
      <c r="B717" s="26"/>
    </row>
    <row r="718">
      <c r="B718" s="26"/>
    </row>
    <row r="719">
      <c r="B719" s="26"/>
    </row>
    <row r="720">
      <c r="B720" s="26"/>
    </row>
    <row r="721">
      <c r="B721" s="26"/>
    </row>
    <row r="722">
      <c r="B722" s="26"/>
    </row>
    <row r="723">
      <c r="B723" s="26"/>
    </row>
    <row r="724">
      <c r="B724" s="26"/>
    </row>
    <row r="725">
      <c r="B725" s="26"/>
    </row>
    <row r="726">
      <c r="B726" s="26"/>
    </row>
    <row r="727">
      <c r="B727" s="26"/>
    </row>
    <row r="728">
      <c r="B728" s="26"/>
    </row>
    <row r="729">
      <c r="B729" s="26"/>
    </row>
    <row r="730">
      <c r="B730" s="26"/>
    </row>
    <row r="731">
      <c r="B731" s="26"/>
    </row>
    <row r="732">
      <c r="B732" s="26"/>
    </row>
    <row r="733">
      <c r="B733" s="26"/>
    </row>
    <row r="734">
      <c r="B734" s="26"/>
    </row>
    <row r="735">
      <c r="B735" s="26"/>
    </row>
    <row r="736">
      <c r="B736" s="26"/>
    </row>
    <row r="737">
      <c r="B737" s="26"/>
    </row>
    <row r="738">
      <c r="B738" s="26"/>
    </row>
    <row r="739">
      <c r="B739" s="26"/>
    </row>
    <row r="740">
      <c r="B740" s="26"/>
    </row>
    <row r="741">
      <c r="B741" s="26"/>
    </row>
    <row r="742">
      <c r="B742" s="26"/>
    </row>
    <row r="743">
      <c r="B743" s="26"/>
    </row>
    <row r="744">
      <c r="B744" s="26"/>
    </row>
    <row r="745">
      <c r="B745" s="26"/>
    </row>
    <row r="746">
      <c r="B746" s="26"/>
    </row>
    <row r="747">
      <c r="B747" s="26"/>
    </row>
    <row r="748">
      <c r="B748" s="26"/>
    </row>
    <row r="749">
      <c r="B749" s="26"/>
    </row>
    <row r="750">
      <c r="B750" s="26"/>
    </row>
    <row r="751">
      <c r="B751" s="26"/>
    </row>
    <row r="752">
      <c r="B752" s="26"/>
    </row>
    <row r="753">
      <c r="B753" s="26"/>
    </row>
    <row r="754">
      <c r="B754" s="26"/>
    </row>
    <row r="755">
      <c r="B755" s="26"/>
    </row>
    <row r="756">
      <c r="B756" s="26"/>
    </row>
    <row r="757">
      <c r="B757" s="26"/>
    </row>
    <row r="758">
      <c r="B758" s="26"/>
    </row>
    <row r="759">
      <c r="B759" s="26"/>
    </row>
    <row r="760">
      <c r="B760" s="26"/>
    </row>
    <row r="761">
      <c r="B761" s="26"/>
    </row>
    <row r="762">
      <c r="B762" s="26"/>
    </row>
    <row r="763">
      <c r="B763" s="26"/>
    </row>
    <row r="764">
      <c r="B764" s="26"/>
    </row>
    <row r="765">
      <c r="B765" s="26"/>
    </row>
    <row r="766">
      <c r="B766" s="26"/>
    </row>
    <row r="767">
      <c r="B767" s="26"/>
    </row>
    <row r="768">
      <c r="B768" s="26"/>
    </row>
    <row r="769">
      <c r="B769" s="26"/>
    </row>
    <row r="770">
      <c r="B770" s="26"/>
    </row>
    <row r="771">
      <c r="B771" s="26"/>
    </row>
    <row r="772">
      <c r="B772" s="26"/>
    </row>
    <row r="773">
      <c r="B773" s="26"/>
    </row>
    <row r="774">
      <c r="B774" s="26"/>
    </row>
    <row r="775">
      <c r="B775" s="26"/>
    </row>
    <row r="776">
      <c r="B776" s="26"/>
    </row>
    <row r="777">
      <c r="B777" s="26"/>
    </row>
    <row r="778">
      <c r="B778" s="26"/>
    </row>
    <row r="779">
      <c r="B779" s="26"/>
    </row>
    <row r="780">
      <c r="B780" s="26"/>
    </row>
    <row r="781">
      <c r="B781" s="26"/>
    </row>
    <row r="782">
      <c r="B782" s="26"/>
    </row>
    <row r="783">
      <c r="B783" s="26"/>
    </row>
    <row r="784">
      <c r="B784" s="26"/>
    </row>
    <row r="785">
      <c r="B785" s="26"/>
    </row>
    <row r="786">
      <c r="B786" s="26"/>
    </row>
    <row r="787">
      <c r="B787" s="26"/>
    </row>
    <row r="788">
      <c r="B788" s="26"/>
    </row>
    <row r="789">
      <c r="B789" s="26"/>
    </row>
    <row r="790">
      <c r="B790" s="26"/>
    </row>
    <row r="791">
      <c r="B791" s="26"/>
    </row>
    <row r="792">
      <c r="B792" s="26"/>
    </row>
    <row r="793">
      <c r="B793" s="26"/>
    </row>
    <row r="794">
      <c r="B794" s="26"/>
    </row>
    <row r="795">
      <c r="B795" s="26"/>
    </row>
    <row r="796">
      <c r="B796" s="26"/>
    </row>
    <row r="797">
      <c r="B797" s="26"/>
    </row>
    <row r="798">
      <c r="B798" s="26"/>
    </row>
    <row r="799">
      <c r="B799" s="26"/>
    </row>
    <row r="800">
      <c r="B800" s="26"/>
    </row>
    <row r="801">
      <c r="B801" s="26"/>
    </row>
    <row r="802">
      <c r="B802" s="26"/>
    </row>
    <row r="803">
      <c r="B803" s="26"/>
    </row>
    <row r="804">
      <c r="B804" s="26"/>
    </row>
    <row r="805">
      <c r="B805" s="26"/>
    </row>
    <row r="806">
      <c r="B806" s="26"/>
    </row>
    <row r="807">
      <c r="B807" s="26"/>
    </row>
    <row r="808">
      <c r="B808" s="26"/>
    </row>
    <row r="809">
      <c r="B809" s="26"/>
    </row>
    <row r="810">
      <c r="B810" s="26"/>
    </row>
    <row r="811">
      <c r="B811" s="26"/>
    </row>
    <row r="812">
      <c r="B812" s="26"/>
    </row>
    <row r="813">
      <c r="B813" s="26"/>
    </row>
    <row r="814">
      <c r="B814" s="26"/>
    </row>
    <row r="815">
      <c r="B815" s="26"/>
    </row>
    <row r="816">
      <c r="B816" s="26"/>
    </row>
    <row r="817">
      <c r="B817" s="26"/>
    </row>
    <row r="818">
      <c r="B818" s="26"/>
    </row>
    <row r="819">
      <c r="B819" s="26"/>
    </row>
    <row r="820">
      <c r="B820" s="26"/>
    </row>
    <row r="821">
      <c r="B821" s="26"/>
    </row>
    <row r="822">
      <c r="B822" s="26"/>
    </row>
    <row r="823">
      <c r="B823" s="26"/>
    </row>
    <row r="824">
      <c r="B824" s="26"/>
    </row>
    <row r="825">
      <c r="B825" s="26"/>
    </row>
    <row r="826">
      <c r="B826" s="26"/>
    </row>
    <row r="827">
      <c r="B827" s="26"/>
    </row>
    <row r="828">
      <c r="B828" s="26"/>
    </row>
    <row r="829">
      <c r="B829" s="26"/>
    </row>
    <row r="830">
      <c r="B830" s="26"/>
    </row>
    <row r="831">
      <c r="B831" s="26"/>
    </row>
    <row r="832">
      <c r="B832" s="26"/>
    </row>
    <row r="833">
      <c r="B833" s="26"/>
    </row>
    <row r="834">
      <c r="B834" s="26"/>
    </row>
    <row r="835">
      <c r="B835" s="26"/>
    </row>
    <row r="836">
      <c r="B836" s="26"/>
    </row>
    <row r="837">
      <c r="B837" s="26"/>
    </row>
    <row r="838">
      <c r="B838" s="26"/>
    </row>
    <row r="839">
      <c r="B839" s="26"/>
    </row>
    <row r="840">
      <c r="B840" s="26"/>
    </row>
    <row r="841">
      <c r="B841" s="26"/>
    </row>
    <row r="842">
      <c r="B842" s="26"/>
    </row>
    <row r="843">
      <c r="B843" s="26"/>
    </row>
    <row r="844">
      <c r="B844" s="26"/>
    </row>
    <row r="845">
      <c r="B845" s="26"/>
    </row>
    <row r="846">
      <c r="B846" s="26"/>
    </row>
    <row r="847">
      <c r="B847" s="26"/>
    </row>
    <row r="848">
      <c r="B848" s="26"/>
    </row>
    <row r="849">
      <c r="B849" s="26"/>
    </row>
    <row r="850">
      <c r="B850" s="26"/>
    </row>
    <row r="851">
      <c r="B851" s="26"/>
    </row>
    <row r="852">
      <c r="B852" s="26"/>
    </row>
    <row r="853">
      <c r="B853" s="26"/>
    </row>
    <row r="854">
      <c r="B854" s="26"/>
    </row>
    <row r="855">
      <c r="B855" s="26"/>
    </row>
    <row r="856">
      <c r="B856" s="26"/>
    </row>
    <row r="857">
      <c r="B857" s="26"/>
    </row>
    <row r="858">
      <c r="B858" s="26"/>
    </row>
    <row r="859">
      <c r="B859" s="26"/>
    </row>
    <row r="860">
      <c r="B860" s="26"/>
    </row>
    <row r="861">
      <c r="B861" s="26"/>
    </row>
    <row r="862">
      <c r="B862" s="26"/>
    </row>
    <row r="863">
      <c r="B863" s="26"/>
    </row>
    <row r="864">
      <c r="B864" s="26"/>
    </row>
    <row r="865">
      <c r="B865" s="26"/>
    </row>
    <row r="866">
      <c r="B866" s="26"/>
    </row>
    <row r="867">
      <c r="B867" s="26"/>
    </row>
    <row r="868">
      <c r="B868" s="26"/>
    </row>
    <row r="869">
      <c r="B869" s="26"/>
    </row>
    <row r="870">
      <c r="B870" s="26"/>
    </row>
    <row r="871">
      <c r="B871" s="26"/>
    </row>
    <row r="872">
      <c r="B872" s="26"/>
    </row>
    <row r="873">
      <c r="B873" s="26"/>
    </row>
    <row r="874">
      <c r="B874" s="26"/>
    </row>
    <row r="875">
      <c r="B875" s="26"/>
    </row>
    <row r="876">
      <c r="B876" s="26"/>
    </row>
    <row r="877">
      <c r="B877" s="26"/>
    </row>
    <row r="878">
      <c r="B878" s="26"/>
    </row>
    <row r="879">
      <c r="B879" s="26"/>
    </row>
    <row r="880">
      <c r="B880" s="26"/>
    </row>
    <row r="881">
      <c r="B881" s="26"/>
    </row>
    <row r="882">
      <c r="B882" s="26"/>
    </row>
    <row r="883">
      <c r="B883" s="26"/>
    </row>
    <row r="884">
      <c r="B884" s="26"/>
    </row>
    <row r="885">
      <c r="B885" s="26"/>
    </row>
    <row r="886">
      <c r="B886" s="26"/>
    </row>
    <row r="887">
      <c r="B887" s="26"/>
    </row>
    <row r="888">
      <c r="B888" s="26"/>
    </row>
    <row r="889">
      <c r="B889" s="26"/>
    </row>
    <row r="890">
      <c r="B890" s="26"/>
    </row>
    <row r="891">
      <c r="B891" s="26"/>
    </row>
    <row r="892">
      <c r="B892" s="26"/>
    </row>
    <row r="893">
      <c r="B893" s="26"/>
    </row>
    <row r="894">
      <c r="B894" s="26"/>
    </row>
    <row r="895">
      <c r="B895" s="26"/>
    </row>
    <row r="896">
      <c r="B896" s="26"/>
    </row>
    <row r="897">
      <c r="B897" s="26"/>
    </row>
    <row r="898">
      <c r="B898" s="26"/>
    </row>
    <row r="899">
      <c r="B899" s="26"/>
    </row>
    <row r="900">
      <c r="B900" s="26"/>
    </row>
    <row r="901">
      <c r="B901" s="26"/>
    </row>
    <row r="902">
      <c r="B902" s="26"/>
    </row>
    <row r="903">
      <c r="B903" s="26"/>
    </row>
    <row r="904">
      <c r="B904" s="26"/>
    </row>
    <row r="905">
      <c r="B905" s="26"/>
    </row>
    <row r="906">
      <c r="B906" s="26"/>
    </row>
    <row r="907">
      <c r="B907" s="26"/>
    </row>
    <row r="908">
      <c r="B908" s="26"/>
    </row>
    <row r="909">
      <c r="B909" s="26"/>
    </row>
    <row r="910">
      <c r="B910" s="26"/>
    </row>
    <row r="911">
      <c r="B911" s="26"/>
    </row>
    <row r="912">
      <c r="B912" s="26"/>
    </row>
    <row r="913">
      <c r="B913" s="26"/>
    </row>
    <row r="914">
      <c r="B914" s="26"/>
    </row>
    <row r="915">
      <c r="B915" s="26"/>
    </row>
    <row r="916">
      <c r="B916" s="26"/>
    </row>
    <row r="917">
      <c r="B917" s="26"/>
    </row>
    <row r="918">
      <c r="B918" s="26"/>
    </row>
    <row r="919">
      <c r="B919" s="26"/>
    </row>
    <row r="920">
      <c r="B920" s="26"/>
    </row>
    <row r="921">
      <c r="B921" s="26"/>
    </row>
    <row r="922">
      <c r="B922" s="26"/>
    </row>
    <row r="923">
      <c r="B923" s="26"/>
    </row>
    <row r="924">
      <c r="B924" s="26"/>
    </row>
    <row r="925">
      <c r="B925" s="26"/>
    </row>
    <row r="926">
      <c r="B926" s="26"/>
    </row>
    <row r="927">
      <c r="B927" s="26"/>
    </row>
    <row r="928">
      <c r="B928" s="26"/>
    </row>
    <row r="929">
      <c r="B929" s="26"/>
    </row>
    <row r="930">
      <c r="B930" s="26"/>
    </row>
    <row r="931">
      <c r="B931" s="26"/>
    </row>
    <row r="932">
      <c r="B932" s="26"/>
    </row>
    <row r="933">
      <c r="B933" s="26"/>
    </row>
    <row r="934">
      <c r="B934" s="26"/>
    </row>
    <row r="935">
      <c r="B935" s="26"/>
    </row>
    <row r="936">
      <c r="B936" s="26"/>
    </row>
    <row r="937">
      <c r="B937" s="26"/>
    </row>
    <row r="938">
      <c r="B938" s="26"/>
    </row>
    <row r="939">
      <c r="B939" s="26"/>
    </row>
    <row r="940">
      <c r="B940" s="26"/>
    </row>
    <row r="941">
      <c r="B941" s="26"/>
    </row>
    <row r="942">
      <c r="B942" s="26"/>
    </row>
    <row r="943">
      <c r="B943" s="26"/>
    </row>
    <row r="944">
      <c r="B944" s="26"/>
    </row>
    <row r="945">
      <c r="B945" s="26"/>
    </row>
    <row r="946">
      <c r="B946" s="26"/>
    </row>
    <row r="947">
      <c r="B947" s="26"/>
    </row>
    <row r="948">
      <c r="B948" s="26"/>
    </row>
    <row r="949">
      <c r="B949" s="26"/>
    </row>
    <row r="950">
      <c r="B950" s="26"/>
    </row>
    <row r="951">
      <c r="B951" s="26"/>
    </row>
    <row r="952">
      <c r="B952" s="26"/>
    </row>
    <row r="953">
      <c r="B953" s="26"/>
    </row>
    <row r="954">
      <c r="B954" s="26"/>
    </row>
    <row r="955">
      <c r="B955" s="26"/>
    </row>
    <row r="956">
      <c r="B956" s="26"/>
    </row>
    <row r="957">
      <c r="B957" s="26"/>
    </row>
    <row r="958">
      <c r="B958" s="26"/>
    </row>
    <row r="959">
      <c r="B959" s="26"/>
    </row>
    <row r="960">
      <c r="B960" s="26"/>
    </row>
    <row r="961">
      <c r="B961" s="26"/>
    </row>
    <row r="962">
      <c r="B962" s="26"/>
    </row>
    <row r="963">
      <c r="B963" s="26"/>
    </row>
    <row r="964">
      <c r="B964" s="26"/>
    </row>
    <row r="965">
      <c r="B965" s="26"/>
    </row>
    <row r="966">
      <c r="B966" s="26"/>
    </row>
    <row r="967">
      <c r="B967" s="26"/>
    </row>
    <row r="968">
      <c r="B968" s="26"/>
    </row>
    <row r="969">
      <c r="B969" s="26"/>
    </row>
    <row r="970">
      <c r="B970" s="26"/>
    </row>
    <row r="971">
      <c r="B971" s="26"/>
    </row>
    <row r="972">
      <c r="B972" s="26"/>
    </row>
    <row r="973">
      <c r="B973" s="26"/>
    </row>
    <row r="974">
      <c r="B974" s="26"/>
    </row>
    <row r="975">
      <c r="B975" s="26"/>
    </row>
    <row r="976">
      <c r="B976" s="26"/>
    </row>
    <row r="977">
      <c r="B977" s="26"/>
    </row>
    <row r="978">
      <c r="B978" s="26"/>
    </row>
    <row r="979">
      <c r="B979" s="26"/>
    </row>
    <row r="980">
      <c r="B980" s="26"/>
    </row>
    <row r="981">
      <c r="B981" s="26"/>
    </row>
    <row r="982">
      <c r="B982" s="26"/>
    </row>
    <row r="983">
      <c r="B983" s="26"/>
    </row>
    <row r="984">
      <c r="B984" s="26"/>
    </row>
    <row r="985">
      <c r="B985" s="26"/>
    </row>
    <row r="986">
      <c r="B986" s="26"/>
    </row>
    <row r="987">
      <c r="B987" s="26"/>
    </row>
    <row r="988">
      <c r="B988" s="26"/>
    </row>
    <row r="989">
      <c r="B989" s="26"/>
    </row>
    <row r="990">
      <c r="B990" s="26"/>
    </row>
    <row r="991">
      <c r="B991" s="26"/>
    </row>
    <row r="992">
      <c r="B992" s="26"/>
    </row>
    <row r="993">
      <c r="B993" s="26"/>
    </row>
    <row r="994">
      <c r="B994" s="26"/>
    </row>
    <row r="995">
      <c r="B995" s="26"/>
    </row>
    <row r="996">
      <c r="B996" s="26"/>
    </row>
    <row r="997">
      <c r="B997" s="26"/>
    </row>
    <row r="998">
      <c r="B998" s="26"/>
    </row>
    <row r="999">
      <c r="B999" s="26"/>
    </row>
    <row r="1000">
      <c r="B1000" s="26"/>
    </row>
  </sheetData>
  <drawing r:id="rId1"/>
  <tableParts count="1">
    <tablePart r:id="rId3"/>
  </tableParts>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2" max="2" width="16.63"/>
    <col customWidth="1" min="3" max="3" width="86.88"/>
    <col customWidth="1" min="4" max="4" width="14.88"/>
  </cols>
  <sheetData>
    <row r="1" ht="22.5" customHeight="1">
      <c r="A1" s="12" t="s">
        <v>0</v>
      </c>
      <c r="B1" s="12" t="s">
        <v>227</v>
      </c>
      <c r="C1" s="12" t="s">
        <v>170</v>
      </c>
      <c r="D1" s="19" t="s">
        <v>171</v>
      </c>
      <c r="E1" s="12" t="s">
        <v>228</v>
      </c>
      <c r="F1" s="13" t="s">
        <v>229</v>
      </c>
    </row>
    <row r="2" ht="22.5" customHeight="1">
      <c r="A2" s="2">
        <v>1.0</v>
      </c>
      <c r="B2" s="27">
        <v>1.0</v>
      </c>
      <c r="C2" s="2" t="s">
        <v>230</v>
      </c>
      <c r="D2" s="2">
        <v>2.0</v>
      </c>
      <c r="E2" s="27" t="s">
        <v>231</v>
      </c>
      <c r="F2" s="27" t="s">
        <v>232</v>
      </c>
    </row>
    <row r="3" ht="22.5" customHeight="1">
      <c r="A3" s="2">
        <v>2.0</v>
      </c>
      <c r="B3" s="27">
        <v>1.0</v>
      </c>
      <c r="C3" s="2" t="s">
        <v>233</v>
      </c>
      <c r="D3" s="2">
        <v>2.0</v>
      </c>
      <c r="E3" s="27" t="s">
        <v>231</v>
      </c>
      <c r="F3" s="27" t="s">
        <v>232</v>
      </c>
    </row>
    <row r="4" ht="22.5" customHeight="1">
      <c r="A4" s="2">
        <v>3.0</v>
      </c>
      <c r="B4" s="27">
        <v>1.0</v>
      </c>
      <c r="C4" s="2" t="s">
        <v>234</v>
      </c>
      <c r="D4" s="2">
        <v>2.0</v>
      </c>
      <c r="E4" s="27" t="s">
        <v>231</v>
      </c>
      <c r="F4" s="27" t="s">
        <v>235</v>
      </c>
    </row>
    <row r="5" ht="22.5" customHeight="1">
      <c r="A5" s="2">
        <v>4.0</v>
      </c>
      <c r="B5" s="27">
        <v>1.0</v>
      </c>
      <c r="C5" s="2" t="s">
        <v>236</v>
      </c>
      <c r="D5" s="2">
        <v>2.0</v>
      </c>
      <c r="E5" s="27" t="s">
        <v>231</v>
      </c>
      <c r="F5" s="27" t="s">
        <v>235</v>
      </c>
    </row>
    <row r="6" ht="22.5" customHeight="1">
      <c r="A6" s="2">
        <v>5.0</v>
      </c>
      <c r="B6" s="27">
        <v>1.0</v>
      </c>
      <c r="C6" s="2" t="s">
        <v>237</v>
      </c>
      <c r="D6" s="2">
        <v>2.0</v>
      </c>
      <c r="E6" s="27" t="s">
        <v>231</v>
      </c>
      <c r="F6" s="27"/>
    </row>
    <row r="7" ht="22.5" customHeight="1">
      <c r="A7" s="2">
        <v>6.0</v>
      </c>
      <c r="B7" s="27">
        <v>1.0</v>
      </c>
      <c r="C7" s="2" t="s">
        <v>238</v>
      </c>
      <c r="D7" s="2">
        <v>2.0</v>
      </c>
      <c r="E7" s="27" t="s">
        <v>231</v>
      </c>
      <c r="F7" s="27" t="s">
        <v>235</v>
      </c>
    </row>
    <row r="8" ht="22.5" customHeight="1">
      <c r="A8" s="2">
        <v>7.0</v>
      </c>
      <c r="B8" s="27">
        <v>1.0</v>
      </c>
      <c r="C8" s="2" t="s">
        <v>239</v>
      </c>
      <c r="D8" s="2">
        <v>2.0</v>
      </c>
      <c r="E8" s="27" t="s">
        <v>231</v>
      </c>
      <c r="F8" s="27" t="s">
        <v>235</v>
      </c>
    </row>
    <row r="9" ht="22.5" customHeight="1">
      <c r="A9" s="2">
        <v>8.0</v>
      </c>
      <c r="B9" s="27">
        <v>2.0</v>
      </c>
      <c r="C9" s="2" t="s">
        <v>240</v>
      </c>
      <c r="D9" s="2">
        <v>2.0</v>
      </c>
      <c r="E9" s="27" t="s">
        <v>241</v>
      </c>
      <c r="F9" s="27" t="s">
        <v>235</v>
      </c>
    </row>
    <row r="10" ht="22.5" customHeight="1">
      <c r="A10" s="2">
        <v>9.0</v>
      </c>
      <c r="B10" s="27">
        <v>2.0</v>
      </c>
      <c r="C10" s="2" t="s">
        <v>242</v>
      </c>
      <c r="D10" s="2">
        <v>2.0</v>
      </c>
      <c r="E10" s="27" t="s">
        <v>241</v>
      </c>
      <c r="F10" s="27" t="s">
        <v>235</v>
      </c>
    </row>
    <row r="11" ht="22.5" customHeight="1">
      <c r="A11" s="2">
        <v>10.0</v>
      </c>
      <c r="B11" s="27">
        <v>2.0</v>
      </c>
      <c r="C11" s="2" t="s">
        <v>243</v>
      </c>
      <c r="D11" s="2">
        <v>2.0</v>
      </c>
      <c r="E11" s="27" t="s">
        <v>241</v>
      </c>
      <c r="F11" s="27" t="s">
        <v>235</v>
      </c>
    </row>
    <row r="12" ht="22.5" customHeight="1">
      <c r="A12" s="2">
        <v>11.0</v>
      </c>
      <c r="B12" s="27">
        <v>2.0</v>
      </c>
      <c r="C12" s="2" t="s">
        <v>244</v>
      </c>
      <c r="D12" s="2">
        <v>2.0</v>
      </c>
      <c r="E12" s="27" t="s">
        <v>241</v>
      </c>
      <c r="F12" s="27" t="s">
        <v>235</v>
      </c>
    </row>
    <row r="13" ht="22.5" customHeight="1">
      <c r="A13" s="2">
        <v>12.0</v>
      </c>
      <c r="B13" s="27">
        <v>2.0</v>
      </c>
      <c r="C13" s="2" t="s">
        <v>245</v>
      </c>
      <c r="D13" s="2">
        <v>2.0</v>
      </c>
      <c r="E13" s="27" t="s">
        <v>246</v>
      </c>
      <c r="F13" s="27" t="s">
        <v>232</v>
      </c>
    </row>
    <row r="14" ht="22.5" customHeight="1">
      <c r="A14" s="2">
        <v>13.0</v>
      </c>
      <c r="B14" s="27">
        <v>2.0</v>
      </c>
      <c r="C14" s="2" t="s">
        <v>247</v>
      </c>
      <c r="D14" s="2">
        <v>2.0</v>
      </c>
      <c r="E14" s="27" t="s">
        <v>246</v>
      </c>
      <c r="F14" s="27" t="s">
        <v>232</v>
      </c>
    </row>
    <row r="15" ht="22.5" customHeight="1">
      <c r="A15" s="2">
        <v>14.0</v>
      </c>
      <c r="B15" s="27">
        <v>2.0</v>
      </c>
      <c r="C15" s="2" t="s">
        <v>248</v>
      </c>
      <c r="D15" s="2">
        <v>2.0</v>
      </c>
      <c r="E15" s="27" t="s">
        <v>246</v>
      </c>
      <c r="F15" s="27" t="s">
        <v>232</v>
      </c>
    </row>
    <row r="16" ht="22.5" customHeight="1">
      <c r="A16" s="2">
        <v>15.0</v>
      </c>
      <c r="B16" s="27">
        <v>2.0</v>
      </c>
      <c r="C16" s="2" t="s">
        <v>249</v>
      </c>
      <c r="D16" s="2">
        <v>2.0</v>
      </c>
      <c r="E16" s="27" t="s">
        <v>246</v>
      </c>
      <c r="F16" s="27" t="s">
        <v>232</v>
      </c>
    </row>
    <row r="17" ht="22.5" customHeight="1">
      <c r="A17" s="2">
        <v>16.0</v>
      </c>
      <c r="B17" s="27">
        <v>2.0</v>
      </c>
      <c r="C17" s="2" t="s">
        <v>250</v>
      </c>
      <c r="D17" s="2">
        <v>2.0</v>
      </c>
      <c r="E17" s="27" t="s">
        <v>246</v>
      </c>
      <c r="F17" s="27" t="s">
        <v>232</v>
      </c>
    </row>
    <row r="18" ht="22.5" customHeight="1">
      <c r="A18" s="2">
        <v>17.0</v>
      </c>
      <c r="B18" s="27">
        <v>2.0</v>
      </c>
      <c r="C18" s="2" t="s">
        <v>251</v>
      </c>
      <c r="D18" s="2">
        <v>2.0</v>
      </c>
      <c r="E18" s="27" t="s">
        <v>246</v>
      </c>
      <c r="F18" s="27" t="s">
        <v>232</v>
      </c>
    </row>
    <row r="19" ht="22.5" customHeight="1">
      <c r="A19" s="2">
        <v>18.0</v>
      </c>
      <c r="B19" s="27">
        <v>2.0</v>
      </c>
      <c r="C19" s="2" t="s">
        <v>252</v>
      </c>
      <c r="D19" s="2">
        <v>2.0</v>
      </c>
      <c r="E19" s="27" t="s">
        <v>246</v>
      </c>
      <c r="F19" s="27" t="s">
        <v>235</v>
      </c>
    </row>
  </sheetData>
  <dataValidations>
    <dataValidation type="list" allowBlank="1" sqref="E2:E19">
      <formula1>"ministeriale,ministeriali,cognitiva,pratica,dipartimentale"</formula1>
    </dataValidation>
    <dataValidation type="list" allowBlank="1" showDropDown="1" showErrorMessage="1" sqref="F2:F19">
      <formula1>"ministeriale,ministeriali,cognitiva,pratica"</formula1>
    </dataValidation>
    <dataValidation type="list" allowBlank="1" sqref="B2:B19">
      <formula1>"1,2"</formula1>
    </dataValidation>
  </dataValidations>
  <drawing r:id="rId1"/>
  <tableParts count="1">
    <tablePart r:id="rId3"/>
  </tableParts>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2" width="7.5"/>
    <col customWidth="1" min="3" max="3" width="11.5"/>
    <col customWidth="1" min="4" max="4" width="114.88"/>
    <col customWidth="1" min="5" max="5" width="22.75"/>
    <col customWidth="1" min="6" max="6" width="16.0"/>
    <col customWidth="1" min="7" max="7" width="17.88"/>
  </cols>
  <sheetData>
    <row r="1" ht="22.5" customHeight="1">
      <c r="A1" s="12" t="s">
        <v>0</v>
      </c>
      <c r="B1" s="12" t="s">
        <v>159</v>
      </c>
      <c r="C1" s="12" t="s">
        <v>183</v>
      </c>
      <c r="D1" s="12" t="s">
        <v>149</v>
      </c>
      <c r="E1" s="12" t="s">
        <v>229</v>
      </c>
      <c r="F1" s="12" t="s">
        <v>227</v>
      </c>
      <c r="G1" s="12" t="s">
        <v>171</v>
      </c>
      <c r="H1" s="12" t="s">
        <v>253</v>
      </c>
      <c r="I1" s="24"/>
      <c r="J1" s="24"/>
      <c r="K1" s="24"/>
      <c r="L1" s="24"/>
      <c r="M1" s="24"/>
      <c r="N1" s="24"/>
      <c r="O1" s="24"/>
      <c r="P1" s="24"/>
      <c r="Q1" s="24"/>
      <c r="R1" s="24"/>
      <c r="S1" s="24"/>
      <c r="T1" s="24"/>
      <c r="U1" s="24"/>
      <c r="V1" s="24"/>
      <c r="W1" s="24"/>
      <c r="X1" s="24"/>
      <c r="Y1" s="24"/>
      <c r="Z1" s="24"/>
      <c r="AA1" s="24"/>
    </row>
    <row r="2" ht="22.5" customHeight="1">
      <c r="A2" s="2">
        <v>1.0</v>
      </c>
      <c r="B2" s="27" t="s">
        <v>254</v>
      </c>
      <c r="C2" s="2">
        <v>1.0</v>
      </c>
      <c r="D2" s="2" t="s">
        <v>255</v>
      </c>
      <c r="E2" s="2" t="s">
        <v>256</v>
      </c>
      <c r="F2" s="28"/>
      <c r="G2" s="27">
        <v>4.0</v>
      </c>
      <c r="H2" s="2" t="str">
        <f t="shared" ref="H2:H26" si="1">concat(CONCAT(CONCAT("C",C2),"/"),B2)</f>
        <v>C1/c</v>
      </c>
    </row>
    <row r="3" ht="22.5" customHeight="1">
      <c r="A3" s="2">
        <v>2.0</v>
      </c>
      <c r="B3" s="27" t="s">
        <v>254</v>
      </c>
      <c r="C3" s="2">
        <v>2.0</v>
      </c>
      <c r="D3" s="2" t="s">
        <v>257</v>
      </c>
      <c r="E3" s="2" t="s">
        <v>256</v>
      </c>
      <c r="F3" s="28"/>
      <c r="G3" s="27">
        <v>4.0</v>
      </c>
      <c r="H3" s="2" t="str">
        <f t="shared" si="1"/>
        <v>C2/c</v>
      </c>
    </row>
    <row r="4" ht="22.5" customHeight="1">
      <c r="A4" s="2">
        <v>3.0</v>
      </c>
      <c r="B4" s="27" t="s">
        <v>254</v>
      </c>
      <c r="C4" s="2">
        <v>3.0</v>
      </c>
      <c r="D4" s="2" t="s">
        <v>258</v>
      </c>
      <c r="E4" s="2" t="s">
        <v>256</v>
      </c>
      <c r="F4" s="28"/>
      <c r="G4" s="27">
        <v>4.0</v>
      </c>
      <c r="H4" s="2" t="str">
        <f t="shared" si="1"/>
        <v>C3/c</v>
      </c>
    </row>
    <row r="5" ht="22.5" customHeight="1">
      <c r="A5" s="2">
        <v>4.0</v>
      </c>
      <c r="B5" s="27" t="s">
        <v>254</v>
      </c>
      <c r="C5" s="2">
        <v>4.0</v>
      </c>
      <c r="D5" s="2" t="s">
        <v>259</v>
      </c>
      <c r="E5" s="2" t="s">
        <v>256</v>
      </c>
      <c r="F5" s="28"/>
      <c r="G5" s="27">
        <v>4.0</v>
      </c>
      <c r="H5" s="2" t="str">
        <f t="shared" si="1"/>
        <v>C4/c</v>
      </c>
    </row>
    <row r="6" ht="22.5" customHeight="1">
      <c r="A6" s="2">
        <v>5.0</v>
      </c>
      <c r="B6" s="27" t="s">
        <v>254</v>
      </c>
      <c r="C6" s="2">
        <v>5.0</v>
      </c>
      <c r="D6" s="2" t="s">
        <v>260</v>
      </c>
      <c r="E6" s="2" t="s">
        <v>256</v>
      </c>
      <c r="F6" s="28"/>
      <c r="G6" s="27">
        <v>4.0</v>
      </c>
      <c r="H6" s="2" t="str">
        <f t="shared" si="1"/>
        <v>C5/c</v>
      </c>
    </row>
    <row r="7" ht="22.5" customHeight="1">
      <c r="A7" s="2">
        <v>6.0</v>
      </c>
      <c r="B7" s="27" t="s">
        <v>254</v>
      </c>
      <c r="C7" s="2">
        <v>6.0</v>
      </c>
      <c r="D7" s="2" t="s">
        <v>261</v>
      </c>
      <c r="E7" s="2" t="s">
        <v>256</v>
      </c>
      <c r="F7" s="28"/>
      <c r="G7" s="27">
        <v>4.0</v>
      </c>
      <c r="H7" s="2" t="str">
        <f t="shared" si="1"/>
        <v>C6/c</v>
      </c>
    </row>
    <row r="8" ht="22.5" customHeight="1">
      <c r="A8" s="2">
        <v>7.0</v>
      </c>
      <c r="B8" s="27" t="s">
        <v>254</v>
      </c>
      <c r="C8" s="2">
        <v>7.0</v>
      </c>
      <c r="D8" s="2" t="s">
        <v>262</v>
      </c>
      <c r="E8" s="2" t="s">
        <v>256</v>
      </c>
      <c r="F8" s="28"/>
      <c r="G8" s="27">
        <v>4.0</v>
      </c>
      <c r="H8" s="2" t="str">
        <f t="shared" si="1"/>
        <v>C7/c</v>
      </c>
    </row>
    <row r="9" ht="22.5" customHeight="1">
      <c r="A9" s="2">
        <v>8.0</v>
      </c>
      <c r="B9" s="27" t="s">
        <v>254</v>
      </c>
      <c r="C9" s="2">
        <v>8.0</v>
      </c>
      <c r="D9" s="2" t="s">
        <v>263</v>
      </c>
      <c r="E9" s="2" t="s">
        <v>256</v>
      </c>
      <c r="F9" s="28"/>
      <c r="G9" s="27">
        <v>4.0</v>
      </c>
      <c r="H9" s="2" t="str">
        <f t="shared" si="1"/>
        <v>C8/c</v>
      </c>
    </row>
    <row r="10" ht="22.5" customHeight="1">
      <c r="A10" s="2">
        <v>9.0</v>
      </c>
      <c r="B10" s="27" t="s">
        <v>254</v>
      </c>
      <c r="C10" s="2">
        <v>9.0</v>
      </c>
      <c r="D10" s="2" t="s">
        <v>264</v>
      </c>
      <c r="E10" s="2" t="s">
        <v>256</v>
      </c>
      <c r="F10" s="28"/>
      <c r="G10" s="27">
        <v>4.0</v>
      </c>
      <c r="H10" s="2" t="str">
        <f t="shared" si="1"/>
        <v>C9/c</v>
      </c>
    </row>
    <row r="11" ht="22.5" customHeight="1">
      <c r="A11" s="2">
        <v>10.0</v>
      </c>
      <c r="B11" s="27" t="s">
        <v>265</v>
      </c>
      <c r="C11" s="2">
        <v>1.0</v>
      </c>
      <c r="D11" s="2" t="s">
        <v>266</v>
      </c>
      <c r="E11" s="2" t="s">
        <v>267</v>
      </c>
      <c r="F11" s="27">
        <v>1.0</v>
      </c>
      <c r="G11" s="27">
        <v>4.0</v>
      </c>
      <c r="H11" s="2" t="str">
        <f t="shared" si="1"/>
        <v>C1/i</v>
      </c>
    </row>
    <row r="12" ht="22.5" customHeight="1">
      <c r="A12" s="2">
        <v>11.0</v>
      </c>
      <c r="B12" s="27" t="s">
        <v>265</v>
      </c>
      <c r="C12" s="2">
        <v>2.0</v>
      </c>
      <c r="D12" s="2" t="s">
        <v>268</v>
      </c>
      <c r="E12" s="2" t="s">
        <v>267</v>
      </c>
      <c r="F12" s="27">
        <v>1.0</v>
      </c>
      <c r="G12" s="27">
        <v>4.0</v>
      </c>
      <c r="H12" s="2" t="str">
        <f t="shared" si="1"/>
        <v>C2/i</v>
      </c>
    </row>
    <row r="13" ht="22.5" customHeight="1">
      <c r="A13" s="2">
        <v>12.0</v>
      </c>
      <c r="B13" s="27" t="s">
        <v>265</v>
      </c>
      <c r="C13" s="2">
        <v>3.0</v>
      </c>
      <c r="D13" s="2" t="s">
        <v>269</v>
      </c>
      <c r="E13" s="2" t="s">
        <v>267</v>
      </c>
      <c r="F13" s="27">
        <v>1.0</v>
      </c>
      <c r="G13" s="27">
        <v>4.0</v>
      </c>
      <c r="H13" s="2" t="str">
        <f t="shared" si="1"/>
        <v>C3/i</v>
      </c>
    </row>
    <row r="14" ht="22.5" customHeight="1">
      <c r="A14" s="2">
        <v>13.0</v>
      </c>
      <c r="B14" s="27" t="s">
        <v>265</v>
      </c>
      <c r="C14" s="2">
        <v>4.0</v>
      </c>
      <c r="D14" s="2" t="s">
        <v>270</v>
      </c>
      <c r="E14" s="2" t="s">
        <v>267</v>
      </c>
      <c r="F14" s="27">
        <v>1.0</v>
      </c>
      <c r="G14" s="27">
        <v>4.0</v>
      </c>
      <c r="H14" s="2" t="str">
        <f t="shared" si="1"/>
        <v>C4/i</v>
      </c>
    </row>
    <row r="15" ht="22.5" customHeight="1">
      <c r="A15" s="2">
        <v>14.0</v>
      </c>
      <c r="B15" s="27" t="s">
        <v>265</v>
      </c>
      <c r="C15" s="2">
        <v>5.0</v>
      </c>
      <c r="D15" s="2" t="s">
        <v>271</v>
      </c>
      <c r="E15" s="2" t="s">
        <v>267</v>
      </c>
      <c r="F15" s="27">
        <v>1.0</v>
      </c>
      <c r="G15" s="27">
        <v>4.0</v>
      </c>
      <c r="H15" s="2" t="str">
        <f t="shared" si="1"/>
        <v>C5/i</v>
      </c>
    </row>
    <row r="16" ht="22.5" customHeight="1">
      <c r="A16" s="2">
        <v>15.0</v>
      </c>
      <c r="B16" s="27" t="s">
        <v>265</v>
      </c>
      <c r="C16" s="2">
        <v>1.0</v>
      </c>
      <c r="D16" s="2" t="s">
        <v>268</v>
      </c>
      <c r="E16" s="2" t="s">
        <v>267</v>
      </c>
      <c r="F16" s="27">
        <v>2.0</v>
      </c>
      <c r="G16" s="27">
        <v>4.0</v>
      </c>
      <c r="H16" s="2" t="str">
        <f t="shared" si="1"/>
        <v>C1/i</v>
      </c>
    </row>
    <row r="17" ht="22.5" customHeight="1">
      <c r="A17" s="2">
        <v>16.0</v>
      </c>
      <c r="B17" s="27" t="s">
        <v>265</v>
      </c>
      <c r="C17" s="2">
        <v>2.0</v>
      </c>
      <c r="D17" s="2" t="s">
        <v>272</v>
      </c>
      <c r="E17" s="2" t="s">
        <v>267</v>
      </c>
      <c r="F17" s="27">
        <v>2.0</v>
      </c>
      <c r="G17" s="27">
        <v>4.0</v>
      </c>
      <c r="H17" s="2" t="str">
        <f t="shared" si="1"/>
        <v>C2/i</v>
      </c>
    </row>
    <row r="18" ht="22.5" customHeight="1">
      <c r="A18" s="2">
        <v>17.0</v>
      </c>
      <c r="B18" s="27" t="s">
        <v>265</v>
      </c>
      <c r="C18" s="2">
        <v>3.0</v>
      </c>
      <c r="D18" s="2" t="s">
        <v>273</v>
      </c>
      <c r="E18" s="2" t="s">
        <v>267</v>
      </c>
      <c r="F18" s="27">
        <v>2.0</v>
      </c>
      <c r="G18" s="27">
        <v>4.0</v>
      </c>
      <c r="H18" s="2" t="str">
        <f t="shared" si="1"/>
        <v>C3/i</v>
      </c>
    </row>
    <row r="19" ht="22.5" customHeight="1">
      <c r="A19" s="2">
        <v>18.0</v>
      </c>
      <c r="B19" s="27" t="s">
        <v>265</v>
      </c>
      <c r="C19" s="2">
        <v>4.0</v>
      </c>
      <c r="D19" s="2" t="s">
        <v>270</v>
      </c>
      <c r="E19" s="2" t="s">
        <v>267</v>
      </c>
      <c r="F19" s="27">
        <v>2.0</v>
      </c>
      <c r="G19" s="27">
        <v>4.0</v>
      </c>
      <c r="H19" s="2" t="str">
        <f t="shared" si="1"/>
        <v>C4/i</v>
      </c>
    </row>
    <row r="20" ht="22.5" customHeight="1">
      <c r="A20" s="2">
        <v>19.0</v>
      </c>
      <c r="B20" s="27" t="s">
        <v>265</v>
      </c>
      <c r="C20" s="2">
        <v>5.0</v>
      </c>
      <c r="D20" s="2" t="s">
        <v>271</v>
      </c>
      <c r="E20" s="2" t="s">
        <v>267</v>
      </c>
      <c r="F20" s="27">
        <v>2.0</v>
      </c>
      <c r="G20" s="27">
        <v>4.0</v>
      </c>
      <c r="H20" s="2" t="str">
        <f t="shared" si="1"/>
        <v>C5/i</v>
      </c>
    </row>
    <row r="21" ht="22.5" customHeight="1">
      <c r="A21" s="2">
        <v>20.0</v>
      </c>
      <c r="B21" s="27" t="s">
        <v>274</v>
      </c>
      <c r="C21" s="2">
        <v>1.0</v>
      </c>
      <c r="D21" s="2" t="s">
        <v>275</v>
      </c>
      <c r="E21" s="2" t="s">
        <v>276</v>
      </c>
      <c r="F21" s="28"/>
      <c r="G21" s="27">
        <v>2.0</v>
      </c>
      <c r="H21" s="2" t="str">
        <f t="shared" si="1"/>
        <v>C1/d</v>
      </c>
    </row>
    <row r="22" ht="22.5" customHeight="1">
      <c r="A22" s="2">
        <v>21.0</v>
      </c>
      <c r="B22" s="27" t="s">
        <v>274</v>
      </c>
      <c r="C22" s="2">
        <v>2.0</v>
      </c>
      <c r="D22" s="2" t="s">
        <v>277</v>
      </c>
      <c r="E22" s="2" t="s">
        <v>276</v>
      </c>
      <c r="F22" s="28"/>
      <c r="G22" s="27">
        <v>2.0</v>
      </c>
      <c r="H22" s="2" t="str">
        <f t="shared" si="1"/>
        <v>C2/d</v>
      </c>
    </row>
    <row r="23" ht="22.5" customHeight="1">
      <c r="A23" s="2">
        <v>22.0</v>
      </c>
      <c r="B23" s="27" t="s">
        <v>274</v>
      </c>
      <c r="C23" s="2">
        <v>3.0</v>
      </c>
      <c r="D23" s="2" t="s">
        <v>270</v>
      </c>
      <c r="E23" s="2" t="s">
        <v>276</v>
      </c>
      <c r="F23" s="28"/>
      <c r="G23" s="27">
        <v>2.0</v>
      </c>
      <c r="H23" s="2" t="str">
        <f t="shared" si="1"/>
        <v>C3/d</v>
      </c>
    </row>
    <row r="24" ht="22.5" customHeight="1">
      <c r="A24" s="2">
        <v>23.0</v>
      </c>
      <c r="B24" s="27" t="s">
        <v>274</v>
      </c>
      <c r="C24" s="2">
        <v>4.0</v>
      </c>
      <c r="D24" s="2" t="s">
        <v>278</v>
      </c>
      <c r="E24" s="2" t="s">
        <v>276</v>
      </c>
      <c r="F24" s="28"/>
      <c r="G24" s="27">
        <v>2.0</v>
      </c>
      <c r="H24" s="2" t="str">
        <f t="shared" si="1"/>
        <v>C4/d</v>
      </c>
    </row>
    <row r="25" ht="22.5" customHeight="1">
      <c r="A25" s="2">
        <v>24.0</v>
      </c>
      <c r="B25" s="27" t="s">
        <v>274</v>
      </c>
      <c r="C25" s="2">
        <v>5.0</v>
      </c>
      <c r="D25" s="2" t="s">
        <v>279</v>
      </c>
      <c r="E25" s="2" t="s">
        <v>276</v>
      </c>
      <c r="F25" s="28"/>
      <c r="G25" s="27">
        <v>2.0</v>
      </c>
      <c r="H25" s="2" t="str">
        <f t="shared" si="1"/>
        <v>C5/d</v>
      </c>
    </row>
    <row r="26" ht="22.5" customHeight="1">
      <c r="A26" s="2">
        <v>25.0</v>
      </c>
      <c r="B26" s="27" t="s">
        <v>274</v>
      </c>
      <c r="C26" s="2">
        <v>6.0</v>
      </c>
      <c r="D26" s="2" t="s">
        <v>271</v>
      </c>
      <c r="E26" s="2" t="s">
        <v>276</v>
      </c>
      <c r="F26" s="28"/>
      <c r="G26" s="27">
        <v>2.0</v>
      </c>
      <c r="H26" s="2" t="str">
        <f t="shared" si="1"/>
        <v>C6/d</v>
      </c>
    </row>
  </sheetData>
  <dataValidations>
    <dataValidation type="list" allowBlank="1" sqref="F2:F26">
      <formula1>"1,2"</formula1>
    </dataValidation>
    <dataValidation type="list" allowBlank="1" showDropDown="1" showErrorMessage="1" sqref="B2:B26">
      <formula1>"c,i,d"</formula1>
    </dataValidation>
    <dataValidation type="list" allowBlank="1" sqref="G2:G26">
      <formula1>"1,1,3,4"</formula1>
    </dataValidation>
  </dataValidations>
  <drawing r:id="rId1"/>
  <tableParts count="1">
    <tablePart r:id="rId3"/>
  </tableParts>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6.5"/>
    <col customWidth="1" min="2" max="2" width="86.5"/>
    <col customWidth="1" min="4" max="4" width="47.88"/>
  </cols>
  <sheetData>
    <row r="1" ht="22.5" customHeight="1">
      <c r="A1" s="12" t="s">
        <v>0</v>
      </c>
      <c r="B1" s="23" t="s">
        <v>170</v>
      </c>
      <c r="C1" s="12" t="s">
        <v>229</v>
      </c>
      <c r="D1" s="13" t="s">
        <v>177</v>
      </c>
    </row>
    <row r="2" ht="22.5" customHeight="1">
      <c r="A2" s="2">
        <v>1.0</v>
      </c>
      <c r="B2" s="25" t="s">
        <v>280</v>
      </c>
      <c r="C2" s="27" t="s">
        <v>232</v>
      </c>
      <c r="D2" s="29" t="str">
        <f>IFERROR(__xludf.DUMMYFUNCTION("JOIN(""; "", ARRAYFORMULA(VLOOKUP(FILTER(abilità_TO_abilità_specifiche[id_abilità], abilità_TO_abilità_specifiche[id_abilità_specifica] = A2), abilità, 3, FALSE)))"),"Applicare le normative di settore sulla sicurezza e la tutela ambientale.")</f>
        <v>Applicare le normative di settore sulla sicurezza e la tutela ambientale.</v>
      </c>
    </row>
    <row r="3" ht="22.5" customHeight="1">
      <c r="A3" s="2">
        <v>2.0</v>
      </c>
      <c r="B3" s="25" t="s">
        <v>281</v>
      </c>
      <c r="C3" s="27" t="s">
        <v>232</v>
      </c>
      <c r="D3" s="29" t="str">
        <f>IFERROR(__xludf.DUMMYFUNCTION("JOIN(""; "", ARRAYFORMULA(VLOOKUP(FILTER(abilità_TO_abilità_specifiche[id_abilità], abilità_TO_abilità_specifiche[id_abilità_specifica] = A3), abilità, 3, FALSE)))"),"Applicare le normative di settore sulla sicurezza e la tutela ambientale.")</f>
        <v>Applicare le normative di settore sulla sicurezza e la tutela ambientale.</v>
      </c>
    </row>
    <row r="4" ht="22.5" customHeight="1">
      <c r="A4" s="2">
        <v>3.0</v>
      </c>
      <c r="B4" s="25" t="s">
        <v>282</v>
      </c>
      <c r="C4" s="27" t="s">
        <v>232</v>
      </c>
      <c r="D4" s="29" t="str">
        <f>IFERROR(__xludf.DUMMYFUNCTION("JOIN(""; "", ARRAYFORMULA(VLOOKUP(FILTER(abilità_TO_abilità_specifiche[id_abilità], abilità_TO_abilità_specifiche[id_abilità_specifica] = A4), abilità, 3, FALSE)))"),"Applicare le normative di settore sulla sicurezza e la tutela ambientale.")</f>
        <v>Applicare le normative di settore sulla sicurezza e la tutela ambientale.</v>
      </c>
    </row>
    <row r="5" ht="22.5" customHeight="1">
      <c r="A5" s="2">
        <v>4.0</v>
      </c>
      <c r="B5" s="25" t="s">
        <v>283</v>
      </c>
      <c r="C5" s="27" t="s">
        <v>232</v>
      </c>
      <c r="D5" s="29" t="str">
        <f>IFERROR(__xludf.DUMMYFUNCTION("JOIN(""; "", ARRAYFORMULA(VLOOKUP(FILTER(abilità_TO_abilità_specifiche[id_abilità], abilità_TO_abilità_specifiche[id_abilità_specifica] = A5), abilità, 3, FALSE)))"),"Applicare le normative di settore sulla sicurezza e la tutela ambientale.")</f>
        <v>Applicare le normative di settore sulla sicurezza e la tutela ambientale.</v>
      </c>
    </row>
    <row r="6" ht="22.5" customHeight="1">
      <c r="A6" s="2">
        <v>5.0</v>
      </c>
      <c r="B6" s="25" t="s">
        <v>284</v>
      </c>
      <c r="C6" s="27" t="s">
        <v>232</v>
      </c>
      <c r="D6" s="29" t="str">
        <f>IFERROR(__xludf.DUMMYFUNCTION("JOIN(""; "", ARRAYFORMULA(VLOOKUP(FILTER(abilità_TO_abilità_specifiche[id_abilità], abilità_TO_abilità_specifiche[id_abilità_specifica] = A6), abilità, 3, FALSE)))"),"Applicare le normative di settore sulla sicurezza e la tutela ambientale.")</f>
        <v>Applicare le normative di settore sulla sicurezza e la tutela ambientale.</v>
      </c>
    </row>
    <row r="7" ht="22.5" customHeight="1">
      <c r="A7" s="2">
        <v>6.0</v>
      </c>
      <c r="B7" s="25" t="s">
        <v>285</v>
      </c>
      <c r="C7" s="27" t="s">
        <v>232</v>
      </c>
      <c r="D7" s="29" t="str">
        <f>IFERROR(__xludf.DUMMYFUNCTION("JOIN(""; "", ARRAYFORMULA(VLOOKUP(FILTER(abilità_TO_abilità_specifiche[id_abilità], abilità_TO_abilità_specifiche[id_abilità_specifica] = A7), abilità, 3, FALSE)))"),"Applicare le normative di settore sulla sicurezza e la tutela ambientale.; Progettare semplici protocolli di comunicazione.")</f>
        <v>Applicare le normative di settore sulla sicurezza e la tutela ambientale.; Progettare semplici protocolli di comunicazione.</v>
      </c>
    </row>
    <row r="8" ht="22.5" customHeight="1">
      <c r="A8" s="2">
        <v>7.0</v>
      </c>
      <c r="B8" s="25" t="s">
        <v>286</v>
      </c>
      <c r="C8" s="27" t="s">
        <v>232</v>
      </c>
      <c r="D8" s="29" t="str">
        <f>IFERROR(__xludf.DUMMYFUNCTION("JOIN(""; "", ARRAYFORMULA(VLOOKUP(FILTER(abilità_TO_abilità_specifiche[id_abilità], abilità_TO_abilità_specifiche[id_abilità_specifica] = A8), abilità, 3, FALSE)))"),"Progettare e realizzare applicazioni in modalità concorrente.")</f>
        <v>Progettare e realizzare applicazioni in modalità concorrente.</v>
      </c>
    </row>
    <row r="9" ht="22.5" customHeight="1">
      <c r="A9" s="2">
        <v>8.0</v>
      </c>
      <c r="B9" s="25" t="s">
        <v>287</v>
      </c>
      <c r="C9" s="27" t="s">
        <v>232</v>
      </c>
      <c r="D9" s="29" t="str">
        <f>IFERROR(__xludf.DUMMYFUNCTION("JOIN(""; "", ARRAYFORMULA(VLOOKUP(FILTER(abilità_TO_abilità_specifiche[id_abilità], abilità_TO_abilità_specifiche[id_abilità_specifica] = A9), abilità, 3, FALSE)))"),"Progettare e realizzare applicazioni in modalità concorrente.")</f>
        <v>Progettare e realizzare applicazioni in modalità concorrente.</v>
      </c>
    </row>
    <row r="10" ht="22.5" customHeight="1">
      <c r="A10" s="2">
        <v>9.0</v>
      </c>
      <c r="B10" s="25" t="s">
        <v>288</v>
      </c>
      <c r="C10" s="27" t="s">
        <v>232</v>
      </c>
      <c r="D10" s="29" t="str">
        <f>IFERROR(__xludf.DUMMYFUNCTION("JOIN(""; "", ARRAYFORMULA(VLOOKUP(FILTER(abilità_TO_abilità_specifiche[id_abilità], abilità_TO_abilità_specifiche[id_abilità_specifica] = A10), abilità, 3, FALSE)))"),"Progettare e realizzare applicazioni in modalità concorrente.")</f>
        <v>Progettare e realizzare applicazioni in modalità concorrente.</v>
      </c>
    </row>
    <row r="11" ht="22.5" customHeight="1">
      <c r="A11" s="2">
        <v>10.0</v>
      </c>
      <c r="B11" s="25" t="s">
        <v>289</v>
      </c>
      <c r="C11" s="27" t="s">
        <v>232</v>
      </c>
      <c r="D11" s="29" t="str">
        <f>IFERROR(__xludf.DUMMYFUNCTION("JOIN(""; "", ARRAYFORMULA(VLOOKUP(FILTER(abilità_TO_abilità_specifiche[id_abilità], abilità_TO_abilità_specifiche[id_abilità_specifica] = A11), abilità, 3, FALSE)))"),"Progettare e realizzare applicazioni in modalità concorrente.; Applicare le normative di settore sulla sicurezza e la tutela ambientale.")</f>
        <v>Progettare e realizzare applicazioni in modalità concorrente.; Applicare le normative di settore sulla sicurezza e la tutela ambientale.</v>
      </c>
    </row>
    <row r="12" ht="22.5" customHeight="1">
      <c r="A12" s="2">
        <v>11.0</v>
      </c>
      <c r="B12" s="25" t="s">
        <v>290</v>
      </c>
      <c r="C12" s="27" t="s">
        <v>232</v>
      </c>
      <c r="D12" s="29" t="str">
        <f>IFERROR(__xludf.DUMMYFUNCTION("JOIN(""; "", ARRAYFORMULA(VLOOKUP(FILTER(abilità_TO_abilità_specifiche[id_abilità], abilità_TO_abilità_specifiche[id_abilità_specifica] = A12), abilità, 3, FALSE)))"),"Documentare i requisiti e gli aspetti architetturali di un prodotto/servizio, anche in riferimento a standard di settore.; Realizzare applicazioni per la comunicazione di rete.; Progettare l’architettura di un prodotto/servizio individuandone le component"&amp;"i tecnologiche.; Realizzare semplici applicazioni orientate ai servizi.; Sviluppare programmi client/server utilizzando protocolli esistenti.")</f>
        <v>Documentare i requisiti e gli aspetti architetturali di un prodotto/servizio, anche in riferimento a standard di settore.; Realizzare applicazioni per la comunicazione di rete.; Progettare l’architettura di un prodotto/servizio individuandone le componenti tecnologiche.; Realizzare semplici applicazioni orientate ai servizi.; Sviluppare programmi client/server utilizzando protocolli esistenti.</v>
      </c>
    </row>
    <row r="13" ht="22.5" customHeight="1">
      <c r="A13" s="2">
        <v>12.0</v>
      </c>
      <c r="B13" s="25" t="s">
        <v>291</v>
      </c>
      <c r="C13" s="27" t="s">
        <v>232</v>
      </c>
      <c r="D13" s="29" t="str">
        <f>IFERROR(__xludf.DUMMYFUNCTION("JOIN(""; "", ARRAYFORMULA(VLOOKUP(FILTER(abilità_TO_abilità_specifiche[id_abilità], abilità_TO_abilità_specifiche[id_abilità_specifica] = A13), abilità, 3, FALSE)))"),"Applicare le normative di settore sulla sicurezza e la tutela ambientale.; Progettare semplici protocolli di comunicazione.")</f>
        <v>Applicare le normative di settore sulla sicurezza e la tutela ambientale.; Progettare semplici protocolli di comunicazione.</v>
      </c>
    </row>
    <row r="14" ht="22.5" customHeight="1">
      <c r="A14" s="2">
        <v>13.0</v>
      </c>
      <c r="B14" s="25" t="s">
        <v>292</v>
      </c>
      <c r="C14" s="27" t="s">
        <v>232</v>
      </c>
      <c r="D14" s="29" t="str">
        <f>IFERROR(__xludf.DUMMYFUNCTION("JOIN(""; "", ARRAYFORMULA(VLOOKUP(FILTER(abilità_TO_abilità_specifiche[id_abilità], abilità_TO_abilità_specifiche[id_abilità_specifica] = A14), abilità, 3, FALSE)))"),"Documentare i requisiti e gli aspetti architetturali di un prodotto/servizio, anche in riferimento a standard di settore.; Realizzare semplici applicazioni orientate ai servizi.")</f>
        <v>Documentare i requisiti e gli aspetti architetturali di un prodotto/servizio, anche in riferimento a standard di settore.; Realizzare semplici applicazioni orientate ai servizi.</v>
      </c>
    </row>
    <row r="15" ht="22.5" customHeight="1">
      <c r="A15" s="2">
        <v>14.0</v>
      </c>
      <c r="B15" s="25" t="s">
        <v>293</v>
      </c>
      <c r="C15" s="27" t="s">
        <v>232</v>
      </c>
      <c r="D15" s="29" t="str">
        <f>IFERROR(__xludf.DUMMYFUNCTION("JOIN(""; "", ARRAYFORMULA(VLOOKUP(FILTER(abilità_TO_abilità_specifiche[id_abilità], abilità_TO_abilità_specifiche[id_abilità_specifica] = A15), abilità, 3, FALSE)))"),"Identificare le fasi di un progetto nel contesto del ciclo di sviluppo.")</f>
        <v>Identificare le fasi di un progetto nel contesto del ciclo di sviluppo.</v>
      </c>
    </row>
    <row r="16" ht="22.5" customHeight="1">
      <c r="A16" s="2">
        <v>15.0</v>
      </c>
      <c r="B16" s="25" t="s">
        <v>294</v>
      </c>
      <c r="C16" s="27" t="s">
        <v>232</v>
      </c>
      <c r="D16" s="29" t="str">
        <f>IFERROR(__xludf.DUMMYFUNCTION("JOIN(""; "", ARRAYFORMULA(VLOOKUP(FILTER(abilità_TO_abilità_specifiche[id_abilità], abilità_TO_abilità_specifiche[id_abilità_specifica] = A16), abilità, 3, FALSE)))"),"Documentare i requisiti e gli aspetti architetturali di un prodotto/servizio, anche in riferimento a standard di settore.; Progettare l’architettura di un prodotto/servizio individuandone le componenti tecnologiche.")</f>
        <v>Documentare i requisiti e gli aspetti architetturali di un prodotto/servizio, anche in riferimento a standard di settore.; Progettare l’architettura di un prodotto/servizio individuandone le componenti tecnologiche.</v>
      </c>
    </row>
    <row r="17" ht="22.5" customHeight="1">
      <c r="A17" s="2">
        <v>16.0</v>
      </c>
      <c r="B17" s="25" t="s">
        <v>295</v>
      </c>
      <c r="C17" s="27" t="s">
        <v>232</v>
      </c>
      <c r="D17" s="29" t="str">
        <f>IFERROR(__xludf.DUMMYFUNCTION("JOIN(""; "", ARRAYFORMULA(VLOOKUP(FILTER(abilità_TO_abilità_specifiche[id_abilità], abilità_TO_abilità_specifiche[id_abilità_specifica] = A17), abilità, 3, FALSE)))"),"Documentare i requisiti e gli aspetti architetturali di un prodotto/servizio, anche in riferimento a standard di settore.; Progettare l’architettura di un prodotto/servizio individuandone le componenti tecnologiche.")</f>
        <v>Documentare i requisiti e gli aspetti architetturali di un prodotto/servizio, anche in riferimento a standard di settore.; Progettare l’architettura di un prodotto/servizio individuandone le componenti tecnologiche.</v>
      </c>
    </row>
    <row r="18" ht="22.5" customHeight="1">
      <c r="A18" s="2">
        <v>17.0</v>
      </c>
      <c r="B18" s="25" t="s">
        <v>296</v>
      </c>
      <c r="C18" s="27" t="s">
        <v>232</v>
      </c>
      <c r="D18" s="29" t="str">
        <f>IFERROR(__xludf.DUMMYFUNCTION("JOIN(""; "", ARRAYFORMULA(VLOOKUP(FILTER(abilità_TO_abilità_specifiche[id_abilità], abilità_TO_abilità_specifiche[id_abilità_specifica] = A18), abilità, 3, FALSE)))"),"Realizzare applicazioni per la comunicazione di rete.; Sviluppare programmi client/server utilizzando protocolli esistenti.")</f>
        <v>Realizzare applicazioni per la comunicazione di rete.; Sviluppare programmi client/server utilizzando protocolli esistenti.</v>
      </c>
    </row>
    <row r="19" ht="22.5" customHeight="1">
      <c r="A19" s="2">
        <v>18.0</v>
      </c>
      <c r="B19" s="25" t="s">
        <v>297</v>
      </c>
      <c r="C19" s="27" t="s">
        <v>232</v>
      </c>
      <c r="D19" s="29" t="str">
        <f>IFERROR(__xludf.DUMMYFUNCTION("JOIN(""; "", ARRAYFORMULA(VLOOKUP(FILTER(abilità_TO_abilità_specifiche[id_abilità], abilità_TO_abilità_specifiche[id_abilità_specifica] = A19), abilità, 3, FALSE)))"),"Documentare i requisiti e gli aspetti architetturali di un prodotto/servizio, anche in riferimento a standard di settore.; Progettare semplici protocolli di comunicazione.")</f>
        <v>Documentare i requisiti e gli aspetti architetturali di un prodotto/servizio, anche in riferimento a standard di settore.; Progettare semplici protocolli di comunicazione.</v>
      </c>
    </row>
    <row r="20" ht="22.5" customHeight="1">
      <c r="A20" s="2">
        <v>19.0</v>
      </c>
      <c r="B20" s="25" t="s">
        <v>298</v>
      </c>
      <c r="C20" s="27" t="s">
        <v>235</v>
      </c>
      <c r="D20" s="29" t="str">
        <f>IFERROR(__xludf.DUMMYFUNCTION("JOIN(""; "", ARRAYFORMULA(VLOOKUP(FILTER(abilità_TO_abilità_specifiche[id_abilità], abilità_TO_abilità_specifiche[id_abilità_specifica] = A20), abilità, 3, FALSE)))"),"Applicare le normative di settore sulla sicurezza e la tutela ambientale.")</f>
        <v>Applicare le normative di settore sulla sicurezza e la tutela ambientale.</v>
      </c>
    </row>
    <row r="21" ht="22.5" customHeight="1">
      <c r="A21" s="2">
        <v>20.0</v>
      </c>
      <c r="B21" s="25" t="s">
        <v>299</v>
      </c>
      <c r="C21" s="27" t="s">
        <v>235</v>
      </c>
      <c r="D21" s="29" t="str">
        <f>IFERROR(__xludf.DUMMYFUNCTION("JOIN(""; "", ARRAYFORMULA(VLOOKUP(FILTER(abilità_TO_abilità_specifiche[id_abilità], abilità_TO_abilità_specifiche[id_abilità_specifica] = A21), abilità, 3, FALSE)))"),"Applicare le normative di settore sulla sicurezza e la tutela ambientale.")</f>
        <v>Applicare le normative di settore sulla sicurezza e la tutela ambientale.</v>
      </c>
    </row>
    <row r="22" ht="22.5" customHeight="1">
      <c r="A22" s="2">
        <v>21.0</v>
      </c>
      <c r="B22" s="25" t="s">
        <v>300</v>
      </c>
      <c r="C22" s="27" t="s">
        <v>235</v>
      </c>
      <c r="D22" s="29" t="str">
        <f>IFERROR(__xludf.DUMMYFUNCTION("JOIN(""; "", ARRAYFORMULA(VLOOKUP(FILTER(abilità_TO_abilità_specifiche[id_abilità], abilità_TO_abilità_specifiche[id_abilità_specifica] = A22), abilità, 3, FALSE)))"),"Applicare le normative di settore sulla sicurezza e la tutela ambientale.")</f>
        <v>Applicare le normative di settore sulla sicurezza e la tutela ambientale.</v>
      </c>
    </row>
    <row r="23" ht="22.5" customHeight="1">
      <c r="A23" s="2">
        <v>22.0</v>
      </c>
      <c r="B23" s="25" t="s">
        <v>301</v>
      </c>
      <c r="C23" s="27" t="s">
        <v>235</v>
      </c>
      <c r="D23" s="29" t="str">
        <f>IFERROR(__xludf.DUMMYFUNCTION("JOIN(""; "", ARRAYFORMULA(VLOOKUP(FILTER(abilità_TO_abilità_specifiche[id_abilità], abilità_TO_abilità_specifiche[id_abilità_specifica] = A23), abilità, 3, FALSE)))"),"Applicare le normative di settore sulla sicurezza e la tutela ambientale.")</f>
        <v>Applicare le normative di settore sulla sicurezza e la tutela ambientale.</v>
      </c>
    </row>
    <row r="24" ht="22.5" customHeight="1">
      <c r="A24" s="2">
        <v>23.0</v>
      </c>
      <c r="B24" s="25" t="s">
        <v>302</v>
      </c>
      <c r="C24" s="27" t="s">
        <v>235</v>
      </c>
      <c r="D24" s="29" t="str">
        <f>IFERROR(__xludf.DUMMYFUNCTION("JOIN(""; "", ARRAYFORMULA(VLOOKUP(FILTER(abilità_TO_abilità_specifiche[id_abilità], abilità_TO_abilità_specifiche[id_abilità_specifica] = A24), abilità, 3, FALSE)))"),"Progettare e realizzare applicazioni in modalità concorrente.")</f>
        <v>Progettare e realizzare applicazioni in modalità concorrente.</v>
      </c>
    </row>
    <row r="25" ht="22.5" customHeight="1">
      <c r="A25" s="2">
        <v>24.0</v>
      </c>
      <c r="B25" s="25" t="s">
        <v>303</v>
      </c>
      <c r="C25" s="27" t="s">
        <v>235</v>
      </c>
      <c r="D25" s="29" t="str">
        <f>IFERROR(__xludf.DUMMYFUNCTION("JOIN(""; "", ARRAYFORMULA(VLOOKUP(FILTER(abilità_TO_abilità_specifiche[id_abilità], abilità_TO_abilità_specifiche[id_abilità_specifica] = A25), abilità, 3, FALSE)))"),"Realizzare applicazioni per la comunicazione di rete.; Realizzare semplici applicazioni orientate ai servizi.; Sviluppare programmi client/server utilizzando protocolli esistenti.")</f>
        <v>Realizzare applicazioni per la comunicazione di rete.; Realizzare semplici applicazioni orientate ai servizi.; Sviluppare programmi client/server utilizzando protocolli esistenti.</v>
      </c>
    </row>
    <row r="26" ht="22.5" customHeight="1">
      <c r="A26" s="2">
        <v>25.0</v>
      </c>
      <c r="B26" s="25" t="s">
        <v>304</v>
      </c>
      <c r="C26" s="27" t="s">
        <v>235</v>
      </c>
      <c r="D26" s="29" t="str">
        <f>IFERROR(__xludf.DUMMYFUNCTION("JOIN(""; "", ARRAYFORMULA(VLOOKUP(FILTER(abilità_TO_abilità_specifiche[id_abilità], abilità_TO_abilità_specifiche[id_abilità_specifica] = A26), abilità, 3, FALSE)))"),"Applicare le normative di settore sulla sicurezza e la tutela ambientale.; Progettare semplici protocolli di comunicazione.")</f>
        <v>Applicare le normative di settore sulla sicurezza e la tutela ambientale.; Progettare semplici protocolli di comunicazione.</v>
      </c>
    </row>
    <row r="27" ht="22.5" customHeight="1">
      <c r="A27" s="2">
        <v>26.0</v>
      </c>
      <c r="B27" s="25" t="s">
        <v>305</v>
      </c>
      <c r="C27" s="27" t="s">
        <v>235</v>
      </c>
      <c r="D27" s="29" t="str">
        <f>IFERROR(__xludf.DUMMYFUNCTION("JOIN(""; "", ARRAYFORMULA(VLOOKUP(FILTER(abilità_TO_abilità_specifiche[id_abilità], abilità_TO_abilità_specifiche[id_abilità_specifica] = A27), abilità, 3, FALSE)))"),"Documentare i requisiti e gli aspetti architetturali di un prodotto/servizio, anche in riferimento a standard di settore.; Realizzare semplici applicazioni orientate ai servizi.")</f>
        <v>Documentare i requisiti e gli aspetti architetturali di un prodotto/servizio, anche in riferimento a standard di settore.; Realizzare semplici applicazioni orientate ai servizi.</v>
      </c>
    </row>
    <row r="28" ht="22.5" customHeight="1">
      <c r="A28" s="2">
        <v>27.0</v>
      </c>
      <c r="B28" s="25" t="s">
        <v>306</v>
      </c>
      <c r="C28" s="27" t="s">
        <v>235</v>
      </c>
      <c r="D28" s="29" t="str">
        <f>IFERROR(__xludf.DUMMYFUNCTION("JOIN(""; "", ARRAYFORMULA(VLOOKUP(FILTER(abilità_TO_abilità_specifiche[id_abilità], abilità_TO_abilità_specifiche[id_abilità_specifica] = A28), abilità, 3, FALSE)))"),"Identificare le fasi di un progetto nel contesto del ciclo di sviluppo.")</f>
        <v>Identificare le fasi di un progetto nel contesto del ciclo di sviluppo.</v>
      </c>
    </row>
    <row r="29" ht="22.5" customHeight="1">
      <c r="A29" s="2">
        <v>28.0</v>
      </c>
      <c r="B29" s="25" t="s">
        <v>307</v>
      </c>
      <c r="C29" s="27" t="s">
        <v>235</v>
      </c>
      <c r="D29" s="29" t="str">
        <f>IFERROR(__xludf.DUMMYFUNCTION("JOIN(""; "", ARRAYFORMULA(VLOOKUP(FILTER(abilità_TO_abilità_specifiche[id_abilità], abilità_TO_abilità_specifiche[id_abilità_specifica] = A29), abilità, 3, FALSE)))"),"Realizzare semplici applicazioni orientate ai servizi.; Sviluppare programmi client/server utilizzando protocolli esistenti.")</f>
        <v>Realizzare semplici applicazioni orientate ai servizi.; Sviluppare programmi client/server utilizzando protocolli esistenti.</v>
      </c>
    </row>
    <row r="30" ht="22.5" customHeight="1">
      <c r="A30" s="2">
        <v>29.0</v>
      </c>
      <c r="B30" s="25" t="s">
        <v>308</v>
      </c>
      <c r="C30" s="27" t="s">
        <v>235</v>
      </c>
      <c r="D30" s="29" t="str">
        <f>IFERROR(__xludf.DUMMYFUNCTION("JOIN(""; "", ARRAYFORMULA(VLOOKUP(FILTER(abilità_TO_abilità_specifiche[id_abilità], abilità_TO_abilità_specifiche[id_abilità_specifica] = A30), abilità, 3, FALSE)))"),"Realizzare semplici applicazioni orientate ai servizi.; Sviluppare programmi client/server utilizzando protocolli esistenti.")</f>
        <v>Realizzare semplici applicazioni orientate ai servizi.; Sviluppare programmi client/server utilizzando protocolli esistenti.</v>
      </c>
    </row>
    <row r="31" ht="22.5" customHeight="1">
      <c r="A31" s="2">
        <v>30.0</v>
      </c>
      <c r="B31" s="25" t="s">
        <v>309</v>
      </c>
      <c r="C31" s="27" t="s">
        <v>235</v>
      </c>
      <c r="D31" s="29" t="str">
        <f>IFERROR(__xludf.DUMMYFUNCTION("JOIN(""; "", ARRAYFORMULA(VLOOKUP(FILTER(abilità_TO_abilità_specifiche[id_abilità], abilità_TO_abilità_specifiche[id_abilità_specifica] = A31), abilità, 3, FALSE)))"),"Realizzare applicazioni per la comunicazione di rete.; Realizzare semplici applicazioni orientate ai servizi.; Sviluppare programmi client/server utilizzando protocolli esistenti.")</f>
        <v>Realizzare applicazioni per la comunicazione di rete.; Realizzare semplici applicazioni orientate ai servizi.; Sviluppare programmi client/server utilizzando protocolli esistenti.</v>
      </c>
    </row>
    <row r="32" ht="22.5" customHeight="1">
      <c r="A32" s="2">
        <v>31.0</v>
      </c>
      <c r="B32" s="25" t="s">
        <v>310</v>
      </c>
      <c r="C32" s="27" t="s">
        <v>235</v>
      </c>
      <c r="D32" s="29" t="str">
        <f>IFERROR(__xludf.DUMMYFUNCTION("JOIN(""; "", ARRAYFORMULA(VLOOKUP(FILTER(abilità_TO_abilità_specifiche[id_abilità], abilità_TO_abilità_specifiche[id_abilità_specifica] = A32), abilità, 3, FALSE)))"),"Progettare semplici protocolli di comunicazione.")</f>
        <v>Progettare semplici protocolli di comunicazione.</v>
      </c>
    </row>
    <row r="33">
      <c r="B33" s="26"/>
    </row>
    <row r="34">
      <c r="B34" s="26"/>
    </row>
    <row r="35">
      <c r="B35" s="26"/>
    </row>
    <row r="36">
      <c r="B36" s="26"/>
    </row>
    <row r="37">
      <c r="B37" s="26"/>
    </row>
    <row r="38">
      <c r="B38" s="26"/>
    </row>
    <row r="39">
      <c r="B39" s="26"/>
    </row>
    <row r="40">
      <c r="B40" s="26"/>
    </row>
    <row r="41">
      <c r="B41" s="26"/>
    </row>
    <row r="42">
      <c r="B42" s="26"/>
    </row>
    <row r="43">
      <c r="B43" s="26"/>
    </row>
    <row r="44">
      <c r="B44" s="26"/>
    </row>
    <row r="45">
      <c r="B45" s="26"/>
    </row>
    <row r="46">
      <c r="B46" s="26"/>
    </row>
    <row r="47">
      <c r="B47" s="26"/>
    </row>
    <row r="48">
      <c r="B48" s="26"/>
    </row>
    <row r="49">
      <c r="B49" s="26"/>
    </row>
    <row r="50">
      <c r="B50" s="26"/>
    </row>
    <row r="51">
      <c r="B51" s="26"/>
    </row>
    <row r="52">
      <c r="B52" s="26"/>
    </row>
    <row r="53">
      <c r="B53" s="26"/>
    </row>
    <row r="54">
      <c r="B54" s="26"/>
    </row>
    <row r="55">
      <c r="B55" s="26"/>
    </row>
    <row r="56">
      <c r="B56" s="26"/>
    </row>
    <row r="57">
      <c r="B57" s="26"/>
    </row>
    <row r="58">
      <c r="B58" s="26"/>
    </row>
    <row r="59">
      <c r="B59" s="26"/>
    </row>
    <row r="60">
      <c r="B60" s="26"/>
    </row>
    <row r="61">
      <c r="B61" s="26"/>
    </row>
    <row r="62">
      <c r="B62" s="26"/>
    </row>
    <row r="63">
      <c r="B63" s="26"/>
    </row>
    <row r="64">
      <c r="B64" s="26"/>
    </row>
    <row r="65">
      <c r="B65" s="26"/>
    </row>
    <row r="66">
      <c r="B66" s="26"/>
    </row>
    <row r="67">
      <c r="B67" s="26"/>
    </row>
    <row r="68">
      <c r="B68" s="26"/>
    </row>
    <row r="69">
      <c r="B69" s="26"/>
    </row>
    <row r="70">
      <c r="B70" s="26"/>
    </row>
    <row r="71">
      <c r="B71" s="26"/>
    </row>
    <row r="72">
      <c r="B72" s="26"/>
    </row>
    <row r="73">
      <c r="B73" s="26"/>
    </row>
    <row r="74">
      <c r="B74" s="26"/>
    </row>
    <row r="75">
      <c r="B75" s="26"/>
    </row>
    <row r="76">
      <c r="B76" s="26"/>
    </row>
    <row r="77">
      <c r="B77" s="26"/>
    </row>
    <row r="78">
      <c r="B78" s="26"/>
    </row>
    <row r="79">
      <c r="B79" s="26"/>
    </row>
    <row r="80">
      <c r="B80" s="26"/>
    </row>
    <row r="81">
      <c r="B81" s="26"/>
    </row>
    <row r="82">
      <c r="B82" s="26"/>
    </row>
    <row r="83">
      <c r="B83" s="26"/>
    </row>
    <row r="84">
      <c r="B84" s="26"/>
    </row>
    <row r="85">
      <c r="B85" s="26"/>
    </row>
    <row r="86">
      <c r="B86" s="26"/>
    </row>
    <row r="87">
      <c r="B87" s="26"/>
    </row>
    <row r="88">
      <c r="B88" s="26"/>
    </row>
    <row r="89">
      <c r="B89" s="26"/>
    </row>
    <row r="90">
      <c r="B90" s="26"/>
    </row>
    <row r="91">
      <c r="B91" s="26"/>
    </row>
    <row r="92">
      <c r="B92" s="26"/>
    </row>
    <row r="93">
      <c r="B93" s="26"/>
    </row>
    <row r="94">
      <c r="B94" s="26"/>
    </row>
    <row r="95">
      <c r="B95" s="26"/>
    </row>
    <row r="96">
      <c r="B96" s="26"/>
    </row>
    <row r="97">
      <c r="B97" s="26"/>
    </row>
    <row r="98">
      <c r="B98" s="26"/>
    </row>
    <row r="99">
      <c r="B99" s="26"/>
    </row>
    <row r="100">
      <c r="B100" s="26"/>
    </row>
    <row r="101">
      <c r="B101" s="26"/>
    </row>
    <row r="102">
      <c r="B102" s="26"/>
    </row>
    <row r="103">
      <c r="B103" s="26"/>
    </row>
    <row r="104">
      <c r="B104" s="26"/>
    </row>
    <row r="105">
      <c r="B105" s="26"/>
    </row>
    <row r="106">
      <c r="B106" s="26"/>
    </row>
    <row r="107">
      <c r="B107" s="26"/>
    </row>
    <row r="108">
      <c r="B108" s="26"/>
    </row>
    <row r="109">
      <c r="B109" s="26"/>
    </row>
    <row r="110">
      <c r="B110" s="26"/>
    </row>
    <row r="111">
      <c r="B111" s="26"/>
    </row>
    <row r="112">
      <c r="B112" s="26"/>
    </row>
    <row r="113">
      <c r="B113" s="26"/>
    </row>
    <row r="114">
      <c r="B114" s="26"/>
    </row>
    <row r="115">
      <c r="B115" s="26"/>
    </row>
    <row r="116">
      <c r="B116" s="26"/>
    </row>
    <row r="117">
      <c r="B117" s="26"/>
    </row>
    <row r="118">
      <c r="B118" s="26"/>
    </row>
    <row r="119">
      <c r="B119" s="26"/>
    </row>
    <row r="120">
      <c r="B120" s="26"/>
    </row>
    <row r="121">
      <c r="B121" s="26"/>
    </row>
    <row r="122">
      <c r="B122" s="26"/>
    </row>
    <row r="123">
      <c r="B123" s="26"/>
    </row>
    <row r="124">
      <c r="B124" s="26"/>
    </row>
    <row r="125">
      <c r="B125" s="26"/>
    </row>
    <row r="126">
      <c r="B126" s="26"/>
    </row>
    <row r="127">
      <c r="B127" s="26"/>
    </row>
    <row r="128">
      <c r="B128" s="26"/>
    </row>
    <row r="129">
      <c r="B129" s="26"/>
    </row>
    <row r="130">
      <c r="B130" s="26"/>
    </row>
    <row r="131">
      <c r="B131" s="26"/>
    </row>
    <row r="132">
      <c r="B132" s="26"/>
    </row>
    <row r="133">
      <c r="B133" s="26"/>
    </row>
    <row r="134">
      <c r="B134" s="26"/>
    </row>
    <row r="135">
      <c r="B135" s="26"/>
    </row>
    <row r="136">
      <c r="B136" s="26"/>
    </row>
    <row r="137">
      <c r="B137" s="26"/>
    </row>
    <row r="138">
      <c r="B138" s="26"/>
    </row>
    <row r="139">
      <c r="B139" s="26"/>
    </row>
    <row r="140">
      <c r="B140" s="26"/>
    </row>
    <row r="141">
      <c r="B141" s="26"/>
    </row>
    <row r="142">
      <c r="B142" s="26"/>
    </row>
    <row r="143">
      <c r="B143" s="26"/>
    </row>
    <row r="144">
      <c r="B144" s="26"/>
    </row>
    <row r="145">
      <c r="B145" s="26"/>
    </row>
    <row r="146">
      <c r="B146" s="26"/>
    </row>
    <row r="147">
      <c r="B147" s="26"/>
    </row>
    <row r="148">
      <c r="B148" s="26"/>
    </row>
    <row r="149">
      <c r="B149" s="26"/>
    </row>
    <row r="150">
      <c r="B150" s="26"/>
    </row>
    <row r="151">
      <c r="B151" s="26"/>
    </row>
    <row r="152">
      <c r="B152" s="26"/>
    </row>
    <row r="153">
      <c r="B153" s="26"/>
    </row>
    <row r="154">
      <c r="B154" s="26"/>
    </row>
    <row r="155">
      <c r="B155" s="26"/>
    </row>
    <row r="156">
      <c r="B156" s="26"/>
    </row>
    <row r="157">
      <c r="B157" s="26"/>
    </row>
    <row r="158">
      <c r="B158" s="26"/>
    </row>
    <row r="159">
      <c r="B159" s="26"/>
    </row>
    <row r="160">
      <c r="B160" s="26"/>
    </row>
    <row r="161">
      <c r="B161" s="26"/>
    </row>
    <row r="162">
      <c r="B162" s="26"/>
    </row>
    <row r="163">
      <c r="B163" s="26"/>
    </row>
    <row r="164">
      <c r="B164" s="26"/>
    </row>
    <row r="165">
      <c r="B165" s="26"/>
    </row>
    <row r="166">
      <c r="B166" s="26"/>
    </row>
    <row r="167">
      <c r="B167" s="26"/>
    </row>
    <row r="168">
      <c r="B168" s="26"/>
    </row>
    <row r="169">
      <c r="B169" s="26"/>
    </row>
    <row r="170">
      <c r="B170" s="26"/>
    </row>
    <row r="171">
      <c r="B171" s="26"/>
    </row>
    <row r="172">
      <c r="B172" s="26"/>
    </row>
    <row r="173">
      <c r="B173" s="26"/>
    </row>
    <row r="174">
      <c r="B174" s="26"/>
    </row>
    <row r="175">
      <c r="B175" s="26"/>
    </row>
    <row r="176">
      <c r="B176" s="26"/>
    </row>
    <row r="177">
      <c r="B177" s="26"/>
    </row>
    <row r="178">
      <c r="B178" s="26"/>
    </row>
    <row r="179">
      <c r="B179" s="26"/>
    </row>
    <row r="180">
      <c r="B180" s="26"/>
    </row>
    <row r="181">
      <c r="B181" s="26"/>
    </row>
    <row r="182">
      <c r="B182" s="26"/>
    </row>
    <row r="183">
      <c r="B183" s="26"/>
    </row>
    <row r="184">
      <c r="B184" s="26"/>
    </row>
    <row r="185">
      <c r="B185" s="26"/>
    </row>
    <row r="186">
      <c r="B186" s="26"/>
    </row>
    <row r="187">
      <c r="B187" s="26"/>
    </row>
    <row r="188">
      <c r="B188" s="26"/>
    </row>
    <row r="189">
      <c r="B189" s="26"/>
    </row>
    <row r="190">
      <c r="B190" s="26"/>
    </row>
    <row r="191">
      <c r="B191" s="26"/>
    </row>
    <row r="192">
      <c r="B192" s="26"/>
    </row>
    <row r="193">
      <c r="B193" s="26"/>
    </row>
    <row r="194">
      <c r="B194" s="26"/>
    </row>
    <row r="195">
      <c r="B195" s="26"/>
    </row>
    <row r="196">
      <c r="B196" s="26"/>
    </row>
    <row r="197">
      <c r="B197" s="26"/>
    </row>
    <row r="198">
      <c r="B198" s="26"/>
    </row>
    <row r="199">
      <c r="B199" s="26"/>
    </row>
    <row r="200">
      <c r="B200" s="26"/>
    </row>
    <row r="201">
      <c r="B201" s="26"/>
    </row>
    <row r="202">
      <c r="B202" s="26"/>
    </row>
    <row r="203">
      <c r="B203" s="26"/>
    </row>
    <row r="204">
      <c r="B204" s="26"/>
    </row>
    <row r="205">
      <c r="B205" s="26"/>
    </row>
    <row r="206">
      <c r="B206" s="26"/>
    </row>
    <row r="207">
      <c r="B207" s="26"/>
    </row>
    <row r="208">
      <c r="B208" s="26"/>
    </row>
    <row r="209">
      <c r="B209" s="26"/>
    </row>
    <row r="210">
      <c r="B210" s="26"/>
    </row>
    <row r="211">
      <c r="B211" s="26"/>
    </row>
    <row r="212">
      <c r="B212" s="26"/>
    </row>
    <row r="213">
      <c r="B213" s="26"/>
    </row>
    <row r="214">
      <c r="B214" s="26"/>
    </row>
    <row r="215">
      <c r="B215" s="26"/>
    </row>
    <row r="216">
      <c r="B216" s="26"/>
    </row>
    <row r="217">
      <c r="B217" s="26"/>
    </row>
    <row r="218">
      <c r="B218" s="26"/>
    </row>
    <row r="219">
      <c r="B219" s="26"/>
    </row>
    <row r="220">
      <c r="B220" s="26"/>
    </row>
    <row r="221">
      <c r="B221" s="26"/>
    </row>
    <row r="222">
      <c r="B222" s="26"/>
    </row>
    <row r="223">
      <c r="B223" s="26"/>
    </row>
    <row r="224">
      <c r="B224" s="26"/>
    </row>
    <row r="225">
      <c r="B225" s="26"/>
    </row>
    <row r="226">
      <c r="B226" s="26"/>
    </row>
    <row r="227">
      <c r="B227" s="26"/>
    </row>
    <row r="228">
      <c r="B228" s="26"/>
    </row>
    <row r="229">
      <c r="B229" s="26"/>
    </row>
    <row r="230">
      <c r="B230" s="26"/>
    </row>
    <row r="231">
      <c r="B231" s="26"/>
    </row>
    <row r="232">
      <c r="B232" s="26"/>
    </row>
    <row r="233">
      <c r="B233" s="26"/>
    </row>
    <row r="234">
      <c r="B234" s="26"/>
    </row>
    <row r="235">
      <c r="B235" s="26"/>
    </row>
    <row r="236">
      <c r="B236" s="26"/>
    </row>
    <row r="237">
      <c r="B237" s="26"/>
    </row>
    <row r="238">
      <c r="B238" s="26"/>
    </row>
    <row r="239">
      <c r="B239" s="26"/>
    </row>
    <row r="240">
      <c r="B240" s="26"/>
    </row>
    <row r="241">
      <c r="B241" s="26"/>
    </row>
    <row r="242">
      <c r="B242" s="26"/>
    </row>
    <row r="243">
      <c r="B243" s="26"/>
    </row>
    <row r="244">
      <c r="B244" s="26"/>
    </row>
    <row r="245">
      <c r="B245" s="26"/>
    </row>
    <row r="246">
      <c r="B246" s="26"/>
    </row>
    <row r="247">
      <c r="B247" s="26"/>
    </row>
    <row r="248">
      <c r="B248" s="26"/>
    </row>
    <row r="249">
      <c r="B249" s="26"/>
    </row>
    <row r="250">
      <c r="B250" s="26"/>
    </row>
    <row r="251">
      <c r="B251" s="26"/>
    </row>
    <row r="252">
      <c r="B252" s="26"/>
    </row>
    <row r="253">
      <c r="B253" s="26"/>
    </row>
    <row r="254">
      <c r="B254" s="26"/>
    </row>
    <row r="255">
      <c r="B255" s="26"/>
    </row>
    <row r="256">
      <c r="B256" s="26"/>
    </row>
    <row r="257">
      <c r="B257" s="26"/>
    </row>
    <row r="258">
      <c r="B258" s="26"/>
    </row>
    <row r="259">
      <c r="B259" s="26"/>
    </row>
    <row r="260">
      <c r="B260" s="26"/>
    </row>
    <row r="261">
      <c r="B261" s="26"/>
    </row>
    <row r="262">
      <c r="B262" s="26"/>
    </row>
    <row r="263">
      <c r="B263" s="26"/>
    </row>
    <row r="264">
      <c r="B264" s="26"/>
    </row>
    <row r="265">
      <c r="B265" s="26"/>
    </row>
    <row r="266">
      <c r="B266" s="26"/>
    </row>
    <row r="267">
      <c r="B267" s="26"/>
    </row>
    <row r="268">
      <c r="B268" s="26"/>
    </row>
    <row r="269">
      <c r="B269" s="26"/>
    </row>
    <row r="270">
      <c r="B270" s="26"/>
    </row>
    <row r="271">
      <c r="B271" s="26"/>
    </row>
    <row r="272">
      <c r="B272" s="26"/>
    </row>
    <row r="273">
      <c r="B273" s="26"/>
    </row>
    <row r="274">
      <c r="B274" s="26"/>
    </row>
    <row r="275">
      <c r="B275" s="26"/>
    </row>
    <row r="276">
      <c r="B276" s="26"/>
    </row>
    <row r="277">
      <c r="B277" s="26"/>
    </row>
    <row r="278">
      <c r="B278" s="26"/>
    </row>
    <row r="279">
      <c r="B279" s="26"/>
    </row>
    <row r="280">
      <c r="B280" s="26"/>
    </row>
    <row r="281">
      <c r="B281" s="26"/>
    </row>
    <row r="282">
      <c r="B282" s="26"/>
    </row>
    <row r="283">
      <c r="B283" s="26"/>
    </row>
    <row r="284">
      <c r="B284" s="26"/>
    </row>
    <row r="285">
      <c r="B285" s="26"/>
    </row>
    <row r="286">
      <c r="B286" s="26"/>
    </row>
    <row r="287">
      <c r="B287" s="26"/>
    </row>
    <row r="288">
      <c r="B288" s="26"/>
    </row>
    <row r="289">
      <c r="B289" s="26"/>
    </row>
    <row r="290">
      <c r="B290" s="26"/>
    </row>
    <row r="291">
      <c r="B291" s="26"/>
    </row>
    <row r="292">
      <c r="B292" s="26"/>
    </row>
    <row r="293">
      <c r="B293" s="26"/>
    </row>
    <row r="294">
      <c r="B294" s="26"/>
    </row>
    <row r="295">
      <c r="B295" s="26"/>
    </row>
    <row r="296">
      <c r="B296" s="26"/>
    </row>
    <row r="297">
      <c r="B297" s="26"/>
    </row>
    <row r="298">
      <c r="B298" s="26"/>
    </row>
    <row r="299">
      <c r="B299" s="26"/>
    </row>
    <row r="300">
      <c r="B300" s="26"/>
    </row>
    <row r="301">
      <c r="B301" s="26"/>
    </row>
    <row r="302">
      <c r="B302" s="26"/>
    </row>
    <row r="303">
      <c r="B303" s="26"/>
    </row>
    <row r="304">
      <c r="B304" s="26"/>
    </row>
    <row r="305">
      <c r="B305" s="26"/>
    </row>
    <row r="306">
      <c r="B306" s="26"/>
    </row>
    <row r="307">
      <c r="B307" s="26"/>
    </row>
    <row r="308">
      <c r="B308" s="26"/>
    </row>
    <row r="309">
      <c r="B309" s="26"/>
    </row>
    <row r="310">
      <c r="B310" s="26"/>
    </row>
    <row r="311">
      <c r="B311" s="26"/>
    </row>
    <row r="312">
      <c r="B312" s="26"/>
    </row>
    <row r="313">
      <c r="B313" s="26"/>
    </row>
    <row r="314">
      <c r="B314" s="26"/>
    </row>
    <row r="315">
      <c r="B315" s="26"/>
    </row>
    <row r="316">
      <c r="B316" s="26"/>
    </row>
    <row r="317">
      <c r="B317" s="26"/>
    </row>
    <row r="318">
      <c r="B318" s="26"/>
    </row>
    <row r="319">
      <c r="B319" s="26"/>
    </row>
    <row r="320">
      <c r="B320" s="26"/>
    </row>
    <row r="321">
      <c r="B321" s="26"/>
    </row>
    <row r="322">
      <c r="B322" s="26"/>
    </row>
    <row r="323">
      <c r="B323" s="26"/>
    </row>
    <row r="324">
      <c r="B324" s="26"/>
    </row>
    <row r="325">
      <c r="B325" s="26"/>
    </row>
    <row r="326">
      <c r="B326" s="26"/>
    </row>
    <row r="327">
      <c r="B327" s="26"/>
    </row>
    <row r="328">
      <c r="B328" s="26"/>
    </row>
    <row r="329">
      <c r="B329" s="26"/>
    </row>
    <row r="330">
      <c r="B330" s="26"/>
    </row>
    <row r="331">
      <c r="B331" s="26"/>
    </row>
    <row r="332">
      <c r="B332" s="26"/>
    </row>
    <row r="333">
      <c r="B333" s="26"/>
    </row>
    <row r="334">
      <c r="B334" s="26"/>
    </row>
    <row r="335">
      <c r="B335" s="26"/>
    </row>
    <row r="336">
      <c r="B336" s="26"/>
    </row>
    <row r="337">
      <c r="B337" s="26"/>
    </row>
    <row r="338">
      <c r="B338" s="26"/>
    </row>
    <row r="339">
      <c r="B339" s="26"/>
    </row>
    <row r="340">
      <c r="B340" s="26"/>
    </row>
    <row r="341">
      <c r="B341" s="26"/>
    </row>
    <row r="342">
      <c r="B342" s="26"/>
    </row>
    <row r="343">
      <c r="B343" s="26"/>
    </row>
    <row r="344">
      <c r="B344" s="26"/>
    </row>
    <row r="345">
      <c r="B345" s="26"/>
    </row>
    <row r="346">
      <c r="B346" s="26"/>
    </row>
    <row r="347">
      <c r="B347" s="26"/>
    </row>
    <row r="348">
      <c r="B348" s="26"/>
    </row>
    <row r="349">
      <c r="B349" s="26"/>
    </row>
    <row r="350">
      <c r="B350" s="26"/>
    </row>
    <row r="351">
      <c r="B351" s="26"/>
    </row>
    <row r="352">
      <c r="B352" s="26"/>
    </row>
    <row r="353">
      <c r="B353" s="26"/>
    </row>
    <row r="354">
      <c r="B354" s="26"/>
    </row>
    <row r="355">
      <c r="B355" s="26"/>
    </row>
    <row r="356">
      <c r="B356" s="26"/>
    </row>
    <row r="357">
      <c r="B357" s="26"/>
    </row>
    <row r="358">
      <c r="B358" s="26"/>
    </row>
    <row r="359">
      <c r="B359" s="26"/>
    </row>
    <row r="360">
      <c r="B360" s="26"/>
    </row>
    <row r="361">
      <c r="B361" s="26"/>
    </row>
    <row r="362">
      <c r="B362" s="26"/>
    </row>
    <row r="363">
      <c r="B363" s="26"/>
    </row>
    <row r="364">
      <c r="B364" s="26"/>
    </row>
    <row r="365">
      <c r="B365" s="26"/>
    </row>
    <row r="366">
      <c r="B366" s="26"/>
    </row>
    <row r="367">
      <c r="B367" s="26"/>
    </row>
    <row r="368">
      <c r="B368" s="26"/>
    </row>
    <row r="369">
      <c r="B369" s="26"/>
    </row>
    <row r="370">
      <c r="B370" s="26"/>
    </row>
    <row r="371">
      <c r="B371" s="26"/>
    </row>
    <row r="372">
      <c r="B372" s="26"/>
    </row>
    <row r="373">
      <c r="B373" s="26"/>
    </row>
    <row r="374">
      <c r="B374" s="26"/>
    </row>
    <row r="375">
      <c r="B375" s="26"/>
    </row>
    <row r="376">
      <c r="B376" s="26"/>
    </row>
    <row r="377">
      <c r="B377" s="26"/>
    </row>
    <row r="378">
      <c r="B378" s="26"/>
    </row>
    <row r="379">
      <c r="B379" s="26"/>
    </row>
    <row r="380">
      <c r="B380" s="26"/>
    </row>
    <row r="381">
      <c r="B381" s="26"/>
    </row>
    <row r="382">
      <c r="B382" s="26"/>
    </row>
    <row r="383">
      <c r="B383" s="26"/>
    </row>
    <row r="384">
      <c r="B384" s="26"/>
    </row>
    <row r="385">
      <c r="B385" s="26"/>
    </row>
    <row r="386">
      <c r="B386" s="26"/>
    </row>
    <row r="387">
      <c r="B387" s="26"/>
    </row>
    <row r="388">
      <c r="B388" s="26"/>
    </row>
    <row r="389">
      <c r="B389" s="26"/>
    </row>
    <row r="390">
      <c r="B390" s="26"/>
    </row>
    <row r="391">
      <c r="B391" s="26"/>
    </row>
    <row r="392">
      <c r="B392" s="26"/>
    </row>
    <row r="393">
      <c r="B393" s="26"/>
    </row>
    <row r="394">
      <c r="B394" s="26"/>
    </row>
    <row r="395">
      <c r="B395" s="26"/>
    </row>
    <row r="396">
      <c r="B396" s="26"/>
    </row>
    <row r="397">
      <c r="B397" s="26"/>
    </row>
    <row r="398">
      <c r="B398" s="26"/>
    </row>
    <row r="399">
      <c r="B399" s="26"/>
    </row>
    <row r="400">
      <c r="B400" s="26"/>
    </row>
    <row r="401">
      <c r="B401" s="26"/>
    </row>
    <row r="402">
      <c r="B402" s="26"/>
    </row>
    <row r="403">
      <c r="B403" s="26"/>
    </row>
    <row r="404">
      <c r="B404" s="26"/>
    </row>
    <row r="405">
      <c r="B405" s="26"/>
    </row>
    <row r="406">
      <c r="B406" s="26"/>
    </row>
    <row r="407">
      <c r="B407" s="26"/>
    </row>
    <row r="408">
      <c r="B408" s="26"/>
    </row>
    <row r="409">
      <c r="B409" s="26"/>
    </row>
    <row r="410">
      <c r="B410" s="26"/>
    </row>
    <row r="411">
      <c r="B411" s="26"/>
    </row>
    <row r="412">
      <c r="B412" s="26"/>
    </row>
    <row r="413">
      <c r="B413" s="26"/>
    </row>
    <row r="414">
      <c r="B414" s="26"/>
    </row>
    <row r="415">
      <c r="B415" s="26"/>
    </row>
    <row r="416">
      <c r="B416" s="26"/>
    </row>
    <row r="417">
      <c r="B417" s="26"/>
    </row>
    <row r="418">
      <c r="B418" s="26"/>
    </row>
    <row r="419">
      <c r="B419" s="26"/>
    </row>
    <row r="420">
      <c r="B420" s="26"/>
    </row>
    <row r="421">
      <c r="B421" s="26"/>
    </row>
    <row r="422">
      <c r="B422" s="26"/>
    </row>
    <row r="423">
      <c r="B423" s="26"/>
    </row>
    <row r="424">
      <c r="B424" s="26"/>
    </row>
    <row r="425">
      <c r="B425" s="26"/>
    </row>
    <row r="426">
      <c r="B426" s="26"/>
    </row>
    <row r="427">
      <c r="B427" s="26"/>
    </row>
    <row r="428">
      <c r="B428" s="26"/>
    </row>
    <row r="429">
      <c r="B429" s="26"/>
    </row>
    <row r="430">
      <c r="B430" s="26"/>
    </row>
    <row r="431">
      <c r="B431" s="26"/>
    </row>
    <row r="432">
      <c r="B432" s="26"/>
    </row>
    <row r="433">
      <c r="B433" s="26"/>
    </row>
    <row r="434">
      <c r="B434" s="26"/>
    </row>
    <row r="435">
      <c r="B435" s="26"/>
    </row>
    <row r="436">
      <c r="B436" s="26"/>
    </row>
    <row r="437">
      <c r="B437" s="26"/>
    </row>
    <row r="438">
      <c r="B438" s="26"/>
    </row>
    <row r="439">
      <c r="B439" s="26"/>
    </row>
    <row r="440">
      <c r="B440" s="26"/>
    </row>
    <row r="441">
      <c r="B441" s="26"/>
    </row>
    <row r="442">
      <c r="B442" s="26"/>
    </row>
    <row r="443">
      <c r="B443" s="26"/>
    </row>
    <row r="444">
      <c r="B444" s="26"/>
    </row>
    <row r="445">
      <c r="B445" s="26"/>
    </row>
    <row r="446">
      <c r="B446" s="26"/>
    </row>
    <row r="447">
      <c r="B447" s="26"/>
    </row>
    <row r="448">
      <c r="B448" s="26"/>
    </row>
    <row r="449">
      <c r="B449" s="26"/>
    </row>
    <row r="450">
      <c r="B450" s="26"/>
    </row>
    <row r="451">
      <c r="B451" s="26"/>
    </row>
    <row r="452">
      <c r="B452" s="26"/>
    </row>
    <row r="453">
      <c r="B453" s="26"/>
    </row>
    <row r="454">
      <c r="B454" s="26"/>
    </row>
    <row r="455">
      <c r="B455" s="26"/>
    </row>
    <row r="456">
      <c r="B456" s="26"/>
    </row>
    <row r="457">
      <c r="B457" s="26"/>
    </row>
    <row r="458">
      <c r="B458" s="26"/>
    </row>
    <row r="459">
      <c r="B459" s="26"/>
    </row>
    <row r="460">
      <c r="B460" s="26"/>
    </row>
    <row r="461">
      <c r="B461" s="26"/>
    </row>
    <row r="462">
      <c r="B462" s="26"/>
    </row>
    <row r="463">
      <c r="B463" s="26"/>
    </row>
    <row r="464">
      <c r="B464" s="26"/>
    </row>
    <row r="465">
      <c r="B465" s="26"/>
    </row>
    <row r="466">
      <c r="B466" s="26"/>
    </row>
    <row r="467">
      <c r="B467" s="26"/>
    </row>
    <row r="468">
      <c r="B468" s="26"/>
    </row>
    <row r="469">
      <c r="B469" s="26"/>
    </row>
    <row r="470">
      <c r="B470" s="26"/>
    </row>
    <row r="471">
      <c r="B471" s="26"/>
    </row>
    <row r="472">
      <c r="B472" s="26"/>
    </row>
    <row r="473">
      <c r="B473" s="26"/>
    </row>
    <row r="474">
      <c r="B474" s="26"/>
    </row>
    <row r="475">
      <c r="B475" s="26"/>
    </row>
    <row r="476">
      <c r="B476" s="26"/>
    </row>
    <row r="477">
      <c r="B477" s="26"/>
    </row>
    <row r="478">
      <c r="B478" s="26"/>
    </row>
    <row r="479">
      <c r="B479" s="26"/>
    </row>
    <row r="480">
      <c r="B480" s="26"/>
    </row>
    <row r="481">
      <c r="B481" s="26"/>
    </row>
    <row r="482">
      <c r="B482" s="26"/>
    </row>
    <row r="483">
      <c r="B483" s="26"/>
    </row>
    <row r="484">
      <c r="B484" s="26"/>
    </row>
    <row r="485">
      <c r="B485" s="26"/>
    </row>
    <row r="486">
      <c r="B486" s="26"/>
    </row>
    <row r="487">
      <c r="B487" s="26"/>
    </row>
    <row r="488">
      <c r="B488" s="26"/>
    </row>
    <row r="489">
      <c r="B489" s="26"/>
    </row>
    <row r="490">
      <c r="B490" s="26"/>
    </row>
    <row r="491">
      <c r="B491" s="26"/>
    </row>
    <row r="492">
      <c r="B492" s="26"/>
    </row>
    <row r="493">
      <c r="B493" s="26"/>
    </row>
    <row r="494">
      <c r="B494" s="26"/>
    </row>
    <row r="495">
      <c r="B495" s="26"/>
    </row>
    <row r="496">
      <c r="B496" s="26"/>
    </row>
    <row r="497">
      <c r="B497" s="26"/>
    </row>
    <row r="498">
      <c r="B498" s="26"/>
    </row>
    <row r="499">
      <c r="B499" s="26"/>
    </row>
    <row r="500">
      <c r="B500" s="26"/>
    </row>
    <row r="501">
      <c r="B501" s="26"/>
    </row>
    <row r="502">
      <c r="B502" s="26"/>
    </row>
    <row r="503">
      <c r="B503" s="26"/>
    </row>
    <row r="504">
      <c r="B504" s="26"/>
    </row>
    <row r="505">
      <c r="B505" s="26"/>
    </row>
    <row r="506">
      <c r="B506" s="26"/>
    </row>
    <row r="507">
      <c r="B507" s="26"/>
    </row>
    <row r="508">
      <c r="B508" s="26"/>
    </row>
    <row r="509">
      <c r="B509" s="26"/>
    </row>
    <row r="510">
      <c r="B510" s="26"/>
    </row>
    <row r="511">
      <c r="B511" s="26"/>
    </row>
    <row r="512">
      <c r="B512" s="26"/>
    </row>
    <row r="513">
      <c r="B513" s="26"/>
    </row>
    <row r="514">
      <c r="B514" s="26"/>
    </row>
    <row r="515">
      <c r="B515" s="26"/>
    </row>
    <row r="516">
      <c r="B516" s="26"/>
    </row>
    <row r="517">
      <c r="B517" s="26"/>
    </row>
    <row r="518">
      <c r="B518" s="26"/>
    </row>
    <row r="519">
      <c r="B519" s="26"/>
    </row>
    <row r="520">
      <c r="B520" s="26"/>
    </row>
    <row r="521">
      <c r="B521" s="26"/>
    </row>
    <row r="522">
      <c r="B522" s="26"/>
    </row>
    <row r="523">
      <c r="B523" s="26"/>
    </row>
    <row r="524">
      <c r="B524" s="26"/>
    </row>
    <row r="525">
      <c r="B525" s="26"/>
    </row>
    <row r="526">
      <c r="B526" s="26"/>
    </row>
    <row r="527">
      <c r="B527" s="26"/>
    </row>
    <row r="528">
      <c r="B528" s="26"/>
    </row>
    <row r="529">
      <c r="B529" s="26"/>
    </row>
    <row r="530">
      <c r="B530" s="26"/>
    </row>
    <row r="531">
      <c r="B531" s="26"/>
    </row>
    <row r="532">
      <c r="B532" s="26"/>
    </row>
    <row r="533">
      <c r="B533" s="26"/>
    </row>
    <row r="534">
      <c r="B534" s="26"/>
    </row>
    <row r="535">
      <c r="B535" s="26"/>
    </row>
    <row r="536">
      <c r="B536" s="26"/>
    </row>
    <row r="537">
      <c r="B537" s="26"/>
    </row>
    <row r="538">
      <c r="B538" s="26"/>
    </row>
    <row r="539">
      <c r="B539" s="26"/>
    </row>
    <row r="540">
      <c r="B540" s="26"/>
    </row>
    <row r="541">
      <c r="B541" s="26"/>
    </row>
    <row r="542">
      <c r="B542" s="26"/>
    </row>
    <row r="543">
      <c r="B543" s="26"/>
    </row>
    <row r="544">
      <c r="B544" s="26"/>
    </row>
    <row r="545">
      <c r="B545" s="26"/>
    </row>
    <row r="546">
      <c r="B546" s="26"/>
    </row>
    <row r="547">
      <c r="B547" s="26"/>
    </row>
    <row r="548">
      <c r="B548" s="26"/>
    </row>
    <row r="549">
      <c r="B549" s="26"/>
    </row>
    <row r="550">
      <c r="B550" s="26"/>
    </row>
    <row r="551">
      <c r="B551" s="26"/>
    </row>
    <row r="552">
      <c r="B552" s="26"/>
    </row>
    <row r="553">
      <c r="B553" s="26"/>
    </row>
    <row r="554">
      <c r="B554" s="26"/>
    </row>
    <row r="555">
      <c r="B555" s="26"/>
    </row>
    <row r="556">
      <c r="B556" s="26"/>
    </row>
    <row r="557">
      <c r="B557" s="26"/>
    </row>
    <row r="558">
      <c r="B558" s="26"/>
    </row>
    <row r="559">
      <c r="B559" s="26"/>
    </row>
    <row r="560">
      <c r="B560" s="26"/>
    </row>
    <row r="561">
      <c r="B561" s="26"/>
    </row>
    <row r="562">
      <c r="B562" s="26"/>
    </row>
    <row r="563">
      <c r="B563" s="26"/>
    </row>
    <row r="564">
      <c r="B564" s="26"/>
    </row>
    <row r="565">
      <c r="B565" s="26"/>
    </row>
    <row r="566">
      <c r="B566" s="26"/>
    </row>
    <row r="567">
      <c r="B567" s="26"/>
    </row>
    <row r="568">
      <c r="B568" s="26"/>
    </row>
    <row r="569">
      <c r="B569" s="26"/>
    </row>
    <row r="570">
      <c r="B570" s="26"/>
    </row>
    <row r="571">
      <c r="B571" s="26"/>
    </row>
    <row r="572">
      <c r="B572" s="26"/>
    </row>
    <row r="573">
      <c r="B573" s="26"/>
    </row>
    <row r="574">
      <c r="B574" s="26"/>
    </row>
    <row r="575">
      <c r="B575" s="26"/>
    </row>
    <row r="576">
      <c r="B576" s="26"/>
    </row>
    <row r="577">
      <c r="B577" s="26"/>
    </row>
    <row r="578">
      <c r="B578" s="26"/>
    </row>
    <row r="579">
      <c r="B579" s="26"/>
    </row>
    <row r="580">
      <c r="B580" s="26"/>
    </row>
    <row r="581">
      <c r="B581" s="26"/>
    </row>
    <row r="582">
      <c r="B582" s="26"/>
    </row>
    <row r="583">
      <c r="B583" s="26"/>
    </row>
    <row r="584">
      <c r="B584" s="26"/>
    </row>
    <row r="585">
      <c r="B585" s="26"/>
    </row>
    <row r="586">
      <c r="B586" s="26"/>
    </row>
    <row r="587">
      <c r="B587" s="26"/>
    </row>
    <row r="588">
      <c r="B588" s="26"/>
    </row>
    <row r="589">
      <c r="B589" s="26"/>
    </row>
    <row r="590">
      <c r="B590" s="26"/>
    </row>
    <row r="591">
      <c r="B591" s="26"/>
    </row>
    <row r="592">
      <c r="B592" s="26"/>
    </row>
    <row r="593">
      <c r="B593" s="26"/>
    </row>
    <row r="594">
      <c r="B594" s="26"/>
    </row>
    <row r="595">
      <c r="B595" s="26"/>
    </row>
    <row r="596">
      <c r="B596" s="26"/>
    </row>
    <row r="597">
      <c r="B597" s="26"/>
    </row>
    <row r="598">
      <c r="B598" s="26"/>
    </row>
    <row r="599">
      <c r="B599" s="26"/>
    </row>
    <row r="600">
      <c r="B600" s="26"/>
    </row>
    <row r="601">
      <c r="B601" s="26"/>
    </row>
    <row r="602">
      <c r="B602" s="26"/>
    </row>
    <row r="603">
      <c r="B603" s="26"/>
    </row>
    <row r="604">
      <c r="B604" s="26"/>
    </row>
    <row r="605">
      <c r="B605" s="26"/>
    </row>
    <row r="606">
      <c r="B606" s="26"/>
    </row>
    <row r="607">
      <c r="B607" s="26"/>
    </row>
    <row r="608">
      <c r="B608" s="26"/>
    </row>
    <row r="609">
      <c r="B609" s="26"/>
    </row>
    <row r="610">
      <c r="B610" s="26"/>
    </row>
    <row r="611">
      <c r="B611" s="26"/>
    </row>
    <row r="612">
      <c r="B612" s="26"/>
    </row>
    <row r="613">
      <c r="B613" s="26"/>
    </row>
    <row r="614">
      <c r="B614" s="26"/>
    </row>
    <row r="615">
      <c r="B615" s="26"/>
    </row>
    <row r="616">
      <c r="B616" s="26"/>
    </row>
    <row r="617">
      <c r="B617" s="26"/>
    </row>
    <row r="618">
      <c r="B618" s="26"/>
    </row>
    <row r="619">
      <c r="B619" s="26"/>
    </row>
    <row r="620">
      <c r="B620" s="26"/>
    </row>
    <row r="621">
      <c r="B621" s="26"/>
    </row>
    <row r="622">
      <c r="B622" s="26"/>
    </row>
    <row r="623">
      <c r="B623" s="26"/>
    </row>
    <row r="624">
      <c r="B624" s="26"/>
    </row>
    <row r="625">
      <c r="B625" s="26"/>
    </row>
    <row r="626">
      <c r="B626" s="26"/>
    </row>
    <row r="627">
      <c r="B627" s="26"/>
    </row>
    <row r="628">
      <c r="B628" s="26"/>
    </row>
    <row r="629">
      <c r="B629" s="26"/>
    </row>
    <row r="630">
      <c r="B630" s="26"/>
    </row>
    <row r="631">
      <c r="B631" s="26"/>
    </row>
    <row r="632">
      <c r="B632" s="26"/>
    </row>
    <row r="633">
      <c r="B633" s="26"/>
    </row>
    <row r="634">
      <c r="B634" s="26"/>
    </row>
    <row r="635">
      <c r="B635" s="26"/>
    </row>
    <row r="636">
      <c r="B636" s="26"/>
    </row>
    <row r="637">
      <c r="B637" s="26"/>
    </row>
    <row r="638">
      <c r="B638" s="26"/>
    </row>
    <row r="639">
      <c r="B639" s="26"/>
    </row>
    <row r="640">
      <c r="B640" s="26"/>
    </row>
    <row r="641">
      <c r="B641" s="26"/>
    </row>
    <row r="642">
      <c r="B642" s="26"/>
    </row>
    <row r="643">
      <c r="B643" s="26"/>
    </row>
    <row r="644">
      <c r="B644" s="26"/>
    </row>
    <row r="645">
      <c r="B645" s="26"/>
    </row>
    <row r="646">
      <c r="B646" s="26"/>
    </row>
    <row r="647">
      <c r="B647" s="26"/>
    </row>
    <row r="648">
      <c r="B648" s="26"/>
    </row>
    <row r="649">
      <c r="B649" s="26"/>
    </row>
    <row r="650">
      <c r="B650" s="26"/>
    </row>
    <row r="651">
      <c r="B651" s="26"/>
    </row>
    <row r="652">
      <c r="B652" s="26"/>
    </row>
    <row r="653">
      <c r="B653" s="26"/>
    </row>
    <row r="654">
      <c r="B654" s="26"/>
    </row>
    <row r="655">
      <c r="B655" s="26"/>
    </row>
    <row r="656">
      <c r="B656" s="26"/>
    </row>
    <row r="657">
      <c r="B657" s="26"/>
    </row>
    <row r="658">
      <c r="B658" s="26"/>
    </row>
    <row r="659">
      <c r="B659" s="26"/>
    </row>
    <row r="660">
      <c r="B660" s="26"/>
    </row>
    <row r="661">
      <c r="B661" s="26"/>
    </row>
    <row r="662">
      <c r="B662" s="26"/>
    </row>
    <row r="663">
      <c r="B663" s="26"/>
    </row>
    <row r="664">
      <c r="B664" s="26"/>
    </row>
    <row r="665">
      <c r="B665" s="26"/>
    </row>
    <row r="666">
      <c r="B666" s="26"/>
    </row>
    <row r="667">
      <c r="B667" s="26"/>
    </row>
    <row r="668">
      <c r="B668" s="26"/>
    </row>
    <row r="669">
      <c r="B669" s="26"/>
    </row>
    <row r="670">
      <c r="B670" s="26"/>
    </row>
    <row r="671">
      <c r="B671" s="26"/>
    </row>
    <row r="672">
      <c r="B672" s="26"/>
    </row>
    <row r="673">
      <c r="B673" s="26"/>
    </row>
    <row r="674">
      <c r="B674" s="26"/>
    </row>
    <row r="675">
      <c r="B675" s="26"/>
    </row>
    <row r="676">
      <c r="B676" s="26"/>
    </row>
    <row r="677">
      <c r="B677" s="26"/>
    </row>
    <row r="678">
      <c r="B678" s="26"/>
    </row>
    <row r="679">
      <c r="B679" s="26"/>
    </row>
    <row r="680">
      <c r="B680" s="26"/>
    </row>
    <row r="681">
      <c r="B681" s="26"/>
    </row>
    <row r="682">
      <c r="B682" s="26"/>
    </row>
    <row r="683">
      <c r="B683" s="26"/>
    </row>
    <row r="684">
      <c r="B684" s="26"/>
    </row>
    <row r="685">
      <c r="B685" s="26"/>
    </row>
    <row r="686">
      <c r="B686" s="26"/>
    </row>
    <row r="687">
      <c r="B687" s="26"/>
    </row>
    <row r="688">
      <c r="B688" s="26"/>
    </row>
    <row r="689">
      <c r="B689" s="26"/>
    </row>
    <row r="690">
      <c r="B690" s="26"/>
    </row>
    <row r="691">
      <c r="B691" s="26"/>
    </row>
    <row r="692">
      <c r="B692" s="26"/>
    </row>
    <row r="693">
      <c r="B693" s="26"/>
    </row>
    <row r="694">
      <c r="B694" s="26"/>
    </row>
    <row r="695">
      <c r="B695" s="26"/>
    </row>
    <row r="696">
      <c r="B696" s="26"/>
    </row>
    <row r="697">
      <c r="B697" s="26"/>
    </row>
    <row r="698">
      <c r="B698" s="26"/>
    </row>
    <row r="699">
      <c r="B699" s="26"/>
    </row>
    <row r="700">
      <c r="B700" s="26"/>
    </row>
    <row r="701">
      <c r="B701" s="26"/>
    </row>
    <row r="702">
      <c r="B702" s="26"/>
    </row>
    <row r="703">
      <c r="B703" s="26"/>
    </row>
    <row r="704">
      <c r="B704" s="26"/>
    </row>
    <row r="705">
      <c r="B705" s="26"/>
    </row>
    <row r="706">
      <c r="B706" s="26"/>
    </row>
    <row r="707">
      <c r="B707" s="26"/>
    </row>
    <row r="708">
      <c r="B708" s="26"/>
    </row>
    <row r="709">
      <c r="B709" s="26"/>
    </row>
    <row r="710">
      <c r="B710" s="26"/>
    </row>
    <row r="711">
      <c r="B711" s="26"/>
    </row>
    <row r="712">
      <c r="B712" s="26"/>
    </row>
    <row r="713">
      <c r="B713" s="26"/>
    </row>
    <row r="714">
      <c r="B714" s="26"/>
    </row>
    <row r="715">
      <c r="B715" s="26"/>
    </row>
    <row r="716">
      <c r="B716" s="26"/>
    </row>
    <row r="717">
      <c r="B717" s="26"/>
    </row>
    <row r="718">
      <c r="B718" s="26"/>
    </row>
    <row r="719">
      <c r="B719" s="26"/>
    </row>
    <row r="720">
      <c r="B720" s="26"/>
    </row>
    <row r="721">
      <c r="B721" s="26"/>
    </row>
    <row r="722">
      <c r="B722" s="26"/>
    </row>
    <row r="723">
      <c r="B723" s="26"/>
    </row>
    <row r="724">
      <c r="B724" s="26"/>
    </row>
    <row r="725">
      <c r="B725" s="26"/>
    </row>
    <row r="726">
      <c r="B726" s="26"/>
    </row>
    <row r="727">
      <c r="B727" s="26"/>
    </row>
    <row r="728">
      <c r="B728" s="26"/>
    </row>
    <row r="729">
      <c r="B729" s="26"/>
    </row>
    <row r="730">
      <c r="B730" s="26"/>
    </row>
    <row r="731">
      <c r="B731" s="26"/>
    </row>
    <row r="732">
      <c r="B732" s="26"/>
    </row>
    <row r="733">
      <c r="B733" s="26"/>
    </row>
    <row r="734">
      <c r="B734" s="26"/>
    </row>
    <row r="735">
      <c r="B735" s="26"/>
    </row>
    <row r="736">
      <c r="B736" s="26"/>
    </row>
    <row r="737">
      <c r="B737" s="26"/>
    </row>
    <row r="738">
      <c r="B738" s="26"/>
    </row>
    <row r="739">
      <c r="B739" s="26"/>
    </row>
    <row r="740">
      <c r="B740" s="26"/>
    </row>
    <row r="741">
      <c r="B741" s="26"/>
    </row>
    <row r="742">
      <c r="B742" s="26"/>
    </row>
    <row r="743">
      <c r="B743" s="26"/>
    </row>
    <row r="744">
      <c r="B744" s="26"/>
    </row>
    <row r="745">
      <c r="B745" s="26"/>
    </row>
    <row r="746">
      <c r="B746" s="26"/>
    </row>
    <row r="747">
      <c r="B747" s="26"/>
    </row>
    <row r="748">
      <c r="B748" s="26"/>
    </row>
    <row r="749">
      <c r="B749" s="26"/>
    </row>
    <row r="750">
      <c r="B750" s="26"/>
    </row>
    <row r="751">
      <c r="B751" s="26"/>
    </row>
    <row r="752">
      <c r="B752" s="26"/>
    </row>
    <row r="753">
      <c r="B753" s="26"/>
    </row>
    <row r="754">
      <c r="B754" s="26"/>
    </row>
    <row r="755">
      <c r="B755" s="26"/>
    </row>
    <row r="756">
      <c r="B756" s="26"/>
    </row>
    <row r="757">
      <c r="B757" s="26"/>
    </row>
    <row r="758">
      <c r="B758" s="26"/>
    </row>
    <row r="759">
      <c r="B759" s="26"/>
    </row>
    <row r="760">
      <c r="B760" s="26"/>
    </row>
    <row r="761">
      <c r="B761" s="26"/>
    </row>
    <row r="762">
      <c r="B762" s="26"/>
    </row>
    <row r="763">
      <c r="B763" s="26"/>
    </row>
    <row r="764">
      <c r="B764" s="26"/>
    </row>
    <row r="765">
      <c r="B765" s="26"/>
    </row>
    <row r="766">
      <c r="B766" s="26"/>
    </row>
    <row r="767">
      <c r="B767" s="26"/>
    </row>
    <row r="768">
      <c r="B768" s="26"/>
    </row>
    <row r="769">
      <c r="B769" s="26"/>
    </row>
    <row r="770">
      <c r="B770" s="26"/>
    </row>
    <row r="771">
      <c r="B771" s="26"/>
    </row>
    <row r="772">
      <c r="B772" s="26"/>
    </row>
    <row r="773">
      <c r="B773" s="26"/>
    </row>
    <row r="774">
      <c r="B774" s="26"/>
    </row>
    <row r="775">
      <c r="B775" s="26"/>
    </row>
    <row r="776">
      <c r="B776" s="26"/>
    </row>
    <row r="777">
      <c r="B777" s="26"/>
    </row>
    <row r="778">
      <c r="B778" s="26"/>
    </row>
    <row r="779">
      <c r="B779" s="26"/>
    </row>
    <row r="780">
      <c r="B780" s="26"/>
    </row>
    <row r="781">
      <c r="B781" s="26"/>
    </row>
    <row r="782">
      <c r="B782" s="26"/>
    </row>
    <row r="783">
      <c r="B783" s="26"/>
    </row>
    <row r="784">
      <c r="B784" s="26"/>
    </row>
    <row r="785">
      <c r="B785" s="26"/>
    </row>
    <row r="786">
      <c r="B786" s="26"/>
    </row>
    <row r="787">
      <c r="B787" s="26"/>
    </row>
    <row r="788">
      <c r="B788" s="26"/>
    </row>
    <row r="789">
      <c r="B789" s="26"/>
    </row>
    <row r="790">
      <c r="B790" s="26"/>
    </row>
    <row r="791">
      <c r="B791" s="26"/>
    </row>
    <row r="792">
      <c r="B792" s="26"/>
    </row>
    <row r="793">
      <c r="B793" s="26"/>
    </row>
    <row r="794">
      <c r="B794" s="26"/>
    </row>
    <row r="795">
      <c r="B795" s="26"/>
    </row>
    <row r="796">
      <c r="B796" s="26"/>
    </row>
    <row r="797">
      <c r="B797" s="26"/>
    </row>
    <row r="798">
      <c r="B798" s="26"/>
    </row>
    <row r="799">
      <c r="B799" s="26"/>
    </row>
    <row r="800">
      <c r="B800" s="26"/>
    </row>
    <row r="801">
      <c r="B801" s="26"/>
    </row>
    <row r="802">
      <c r="B802" s="26"/>
    </row>
    <row r="803">
      <c r="B803" s="26"/>
    </row>
    <row r="804">
      <c r="B804" s="26"/>
    </row>
    <row r="805">
      <c r="B805" s="26"/>
    </row>
    <row r="806">
      <c r="B806" s="26"/>
    </row>
    <row r="807">
      <c r="B807" s="26"/>
    </row>
    <row r="808">
      <c r="B808" s="26"/>
    </row>
    <row r="809">
      <c r="B809" s="26"/>
    </row>
    <row r="810">
      <c r="B810" s="26"/>
    </row>
    <row r="811">
      <c r="B811" s="26"/>
    </row>
    <row r="812">
      <c r="B812" s="26"/>
    </row>
    <row r="813">
      <c r="B813" s="26"/>
    </row>
    <row r="814">
      <c r="B814" s="26"/>
    </row>
    <row r="815">
      <c r="B815" s="26"/>
    </row>
    <row r="816">
      <c r="B816" s="26"/>
    </row>
    <row r="817">
      <c r="B817" s="26"/>
    </row>
    <row r="818">
      <c r="B818" s="26"/>
    </row>
    <row r="819">
      <c r="B819" s="26"/>
    </row>
    <row r="820">
      <c r="B820" s="26"/>
    </row>
    <row r="821">
      <c r="B821" s="26"/>
    </row>
    <row r="822">
      <c r="B822" s="26"/>
    </row>
    <row r="823">
      <c r="B823" s="26"/>
    </row>
    <row r="824">
      <c r="B824" s="26"/>
    </row>
    <row r="825">
      <c r="B825" s="26"/>
    </row>
    <row r="826">
      <c r="B826" s="26"/>
    </row>
    <row r="827">
      <c r="B827" s="26"/>
    </row>
    <row r="828">
      <c r="B828" s="26"/>
    </row>
    <row r="829">
      <c r="B829" s="26"/>
    </row>
    <row r="830">
      <c r="B830" s="26"/>
    </row>
    <row r="831">
      <c r="B831" s="26"/>
    </row>
    <row r="832">
      <c r="B832" s="26"/>
    </row>
    <row r="833">
      <c r="B833" s="26"/>
    </row>
    <row r="834">
      <c r="B834" s="26"/>
    </row>
    <row r="835">
      <c r="B835" s="26"/>
    </row>
    <row r="836">
      <c r="B836" s="26"/>
    </row>
    <row r="837">
      <c r="B837" s="26"/>
    </row>
    <row r="838">
      <c r="B838" s="26"/>
    </row>
    <row r="839">
      <c r="B839" s="26"/>
    </row>
    <row r="840">
      <c r="B840" s="26"/>
    </row>
    <row r="841">
      <c r="B841" s="26"/>
    </row>
    <row r="842">
      <c r="B842" s="26"/>
    </row>
    <row r="843">
      <c r="B843" s="26"/>
    </row>
    <row r="844">
      <c r="B844" s="26"/>
    </row>
    <row r="845">
      <c r="B845" s="26"/>
    </row>
    <row r="846">
      <c r="B846" s="26"/>
    </row>
    <row r="847">
      <c r="B847" s="26"/>
    </row>
    <row r="848">
      <c r="B848" s="26"/>
    </row>
    <row r="849">
      <c r="B849" s="26"/>
    </row>
    <row r="850">
      <c r="B850" s="26"/>
    </row>
    <row r="851">
      <c r="B851" s="26"/>
    </row>
    <row r="852">
      <c r="B852" s="26"/>
    </row>
    <row r="853">
      <c r="B853" s="26"/>
    </row>
    <row r="854">
      <c r="B854" s="26"/>
    </row>
    <row r="855">
      <c r="B855" s="26"/>
    </row>
    <row r="856">
      <c r="B856" s="26"/>
    </row>
    <row r="857">
      <c r="B857" s="26"/>
    </row>
    <row r="858">
      <c r="B858" s="26"/>
    </row>
    <row r="859">
      <c r="B859" s="26"/>
    </row>
    <row r="860">
      <c r="B860" s="26"/>
    </row>
    <row r="861">
      <c r="B861" s="26"/>
    </row>
    <row r="862">
      <c r="B862" s="26"/>
    </row>
    <row r="863">
      <c r="B863" s="26"/>
    </row>
    <row r="864">
      <c r="B864" s="26"/>
    </row>
    <row r="865">
      <c r="B865" s="26"/>
    </row>
    <row r="866">
      <c r="B866" s="26"/>
    </row>
    <row r="867">
      <c r="B867" s="26"/>
    </row>
    <row r="868">
      <c r="B868" s="26"/>
    </row>
    <row r="869">
      <c r="B869" s="26"/>
    </row>
    <row r="870">
      <c r="B870" s="26"/>
    </row>
    <row r="871">
      <c r="B871" s="26"/>
    </row>
    <row r="872">
      <c r="B872" s="26"/>
    </row>
    <row r="873">
      <c r="B873" s="26"/>
    </row>
    <row r="874">
      <c r="B874" s="26"/>
    </row>
    <row r="875">
      <c r="B875" s="26"/>
    </row>
    <row r="876">
      <c r="B876" s="26"/>
    </row>
    <row r="877">
      <c r="B877" s="26"/>
    </row>
    <row r="878">
      <c r="B878" s="26"/>
    </row>
    <row r="879">
      <c r="B879" s="26"/>
    </row>
    <row r="880">
      <c r="B880" s="26"/>
    </row>
    <row r="881">
      <c r="B881" s="26"/>
    </row>
    <row r="882">
      <c r="B882" s="26"/>
    </row>
    <row r="883">
      <c r="B883" s="26"/>
    </row>
    <row r="884">
      <c r="B884" s="26"/>
    </row>
    <row r="885">
      <c r="B885" s="26"/>
    </row>
    <row r="886">
      <c r="B886" s="26"/>
    </row>
    <row r="887">
      <c r="B887" s="26"/>
    </row>
    <row r="888">
      <c r="B888" s="26"/>
    </row>
    <row r="889">
      <c r="B889" s="26"/>
    </row>
    <row r="890">
      <c r="B890" s="26"/>
    </row>
    <row r="891">
      <c r="B891" s="26"/>
    </row>
    <row r="892">
      <c r="B892" s="26"/>
    </row>
    <row r="893">
      <c r="B893" s="26"/>
    </row>
    <row r="894">
      <c r="B894" s="26"/>
    </row>
    <row r="895">
      <c r="B895" s="26"/>
    </row>
    <row r="896">
      <c r="B896" s="26"/>
    </row>
    <row r="897">
      <c r="B897" s="26"/>
    </row>
    <row r="898">
      <c r="B898" s="26"/>
    </row>
    <row r="899">
      <c r="B899" s="26"/>
    </row>
    <row r="900">
      <c r="B900" s="26"/>
    </row>
    <row r="901">
      <c r="B901" s="26"/>
    </row>
    <row r="902">
      <c r="B902" s="26"/>
    </row>
    <row r="903">
      <c r="B903" s="26"/>
    </row>
    <row r="904">
      <c r="B904" s="26"/>
    </row>
    <row r="905">
      <c r="B905" s="26"/>
    </row>
    <row r="906">
      <c r="B906" s="26"/>
    </row>
    <row r="907">
      <c r="B907" s="26"/>
    </row>
    <row r="908">
      <c r="B908" s="26"/>
    </row>
    <row r="909">
      <c r="B909" s="26"/>
    </row>
    <row r="910">
      <c r="B910" s="26"/>
    </row>
    <row r="911">
      <c r="B911" s="26"/>
    </row>
    <row r="912">
      <c r="B912" s="26"/>
    </row>
    <row r="913">
      <c r="B913" s="26"/>
    </row>
    <row r="914">
      <c r="B914" s="26"/>
    </row>
    <row r="915">
      <c r="B915" s="26"/>
    </row>
    <row r="916">
      <c r="B916" s="26"/>
    </row>
    <row r="917">
      <c r="B917" s="26"/>
    </row>
    <row r="918">
      <c r="B918" s="26"/>
    </row>
    <row r="919">
      <c r="B919" s="26"/>
    </row>
    <row r="920">
      <c r="B920" s="26"/>
    </row>
    <row r="921">
      <c r="B921" s="26"/>
    </row>
    <row r="922">
      <c r="B922" s="26"/>
    </row>
    <row r="923">
      <c r="B923" s="26"/>
    </row>
    <row r="924">
      <c r="B924" s="26"/>
    </row>
    <row r="925">
      <c r="B925" s="26"/>
    </row>
    <row r="926">
      <c r="B926" s="26"/>
    </row>
    <row r="927">
      <c r="B927" s="26"/>
    </row>
    <row r="928">
      <c r="B928" s="26"/>
    </row>
    <row r="929">
      <c r="B929" s="26"/>
    </row>
    <row r="930">
      <c r="B930" s="26"/>
    </row>
    <row r="931">
      <c r="B931" s="26"/>
    </row>
    <row r="932">
      <c r="B932" s="26"/>
    </row>
    <row r="933">
      <c r="B933" s="26"/>
    </row>
    <row r="934">
      <c r="B934" s="26"/>
    </row>
    <row r="935">
      <c r="B935" s="26"/>
    </row>
    <row r="936">
      <c r="B936" s="26"/>
    </row>
    <row r="937">
      <c r="B937" s="26"/>
    </row>
    <row r="938">
      <c r="B938" s="26"/>
    </row>
    <row r="939">
      <c r="B939" s="26"/>
    </row>
    <row r="940">
      <c r="B940" s="26"/>
    </row>
    <row r="941">
      <c r="B941" s="26"/>
    </row>
    <row r="942">
      <c r="B942" s="26"/>
    </row>
    <row r="943">
      <c r="B943" s="26"/>
    </row>
    <row r="944">
      <c r="B944" s="26"/>
    </row>
    <row r="945">
      <c r="B945" s="26"/>
    </row>
    <row r="946">
      <c r="B946" s="26"/>
    </row>
    <row r="947">
      <c r="B947" s="26"/>
    </row>
    <row r="948">
      <c r="B948" s="26"/>
    </row>
    <row r="949">
      <c r="B949" s="26"/>
    </row>
    <row r="950">
      <c r="B950" s="26"/>
    </row>
    <row r="951">
      <c r="B951" s="26"/>
    </row>
    <row r="952">
      <c r="B952" s="26"/>
    </row>
    <row r="953">
      <c r="B953" s="26"/>
    </row>
    <row r="954">
      <c r="B954" s="26"/>
    </row>
    <row r="955">
      <c r="B955" s="26"/>
    </row>
    <row r="956">
      <c r="B956" s="26"/>
    </row>
    <row r="957">
      <c r="B957" s="26"/>
    </row>
    <row r="958">
      <c r="B958" s="26"/>
    </row>
    <row r="959">
      <c r="B959" s="26"/>
    </row>
    <row r="960">
      <c r="B960" s="26"/>
    </row>
    <row r="961">
      <c r="B961" s="26"/>
    </row>
    <row r="962">
      <c r="B962" s="26"/>
    </row>
    <row r="963">
      <c r="B963" s="26"/>
    </row>
    <row r="964">
      <c r="B964" s="26"/>
    </row>
    <row r="965">
      <c r="B965" s="26"/>
    </row>
    <row r="966">
      <c r="B966" s="26"/>
    </row>
    <row r="967">
      <c r="B967" s="26"/>
    </row>
    <row r="968">
      <c r="B968" s="26"/>
    </row>
    <row r="969">
      <c r="B969" s="26"/>
    </row>
    <row r="970">
      <c r="B970" s="26"/>
    </row>
    <row r="971">
      <c r="B971" s="26"/>
    </row>
    <row r="972">
      <c r="B972" s="26"/>
    </row>
    <row r="973">
      <c r="B973" s="26"/>
    </row>
    <row r="974">
      <c r="B974" s="26"/>
    </row>
    <row r="975">
      <c r="B975" s="26"/>
    </row>
    <row r="976">
      <c r="B976" s="26"/>
    </row>
    <row r="977">
      <c r="B977" s="26"/>
    </row>
    <row r="978">
      <c r="B978" s="26"/>
    </row>
    <row r="979">
      <c r="B979" s="26"/>
    </row>
    <row r="980">
      <c r="B980" s="26"/>
    </row>
    <row r="981">
      <c r="B981" s="26"/>
    </row>
    <row r="982">
      <c r="B982" s="26"/>
    </row>
    <row r="983">
      <c r="B983" s="26"/>
    </row>
    <row r="984">
      <c r="B984" s="26"/>
    </row>
    <row r="985">
      <c r="B985" s="26"/>
    </row>
    <row r="986">
      <c r="B986" s="26"/>
    </row>
    <row r="987">
      <c r="B987" s="26"/>
    </row>
    <row r="988">
      <c r="B988" s="26"/>
    </row>
    <row r="989">
      <c r="B989" s="26"/>
    </row>
    <row r="990">
      <c r="B990" s="26"/>
    </row>
    <row r="991">
      <c r="B991" s="26"/>
    </row>
    <row r="992">
      <c r="B992" s="26"/>
    </row>
    <row r="993">
      <c r="B993" s="26"/>
    </row>
    <row r="994">
      <c r="B994" s="26"/>
    </row>
    <row r="995">
      <c r="B995" s="26"/>
    </row>
  </sheetData>
  <dataValidations>
    <dataValidation type="list" allowBlank="1" showErrorMessage="1" sqref="C2:C32">
      <formula1>"cognitiva,pratica"</formula1>
    </dataValidation>
  </dataValidations>
  <drawing r:id="rId1"/>
  <tableParts count="1">
    <tablePart r:id="rId3"/>
  </tableParts>
</worksheet>
</file>

<file path=xl/worksheets/sheet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21.13"/>
    <col customWidth="1" min="2" max="2" width="12.88"/>
  </cols>
  <sheetData>
    <row r="1" ht="22.5" customHeight="1">
      <c r="A1" s="30" t="s">
        <v>311</v>
      </c>
      <c r="B1" s="30" t="s">
        <v>312</v>
      </c>
    </row>
    <row r="2" ht="22.5" customHeight="1">
      <c r="A2" s="31">
        <v>1.0</v>
      </c>
      <c r="B2" s="31">
        <v>7.0</v>
      </c>
    </row>
    <row r="3" ht="22.5" customHeight="1">
      <c r="A3" s="31">
        <v>2.0</v>
      </c>
      <c r="B3" s="31">
        <v>7.0</v>
      </c>
    </row>
    <row r="4" ht="22.5" customHeight="1">
      <c r="A4" s="31">
        <v>3.0</v>
      </c>
      <c r="B4" s="31">
        <v>7.0</v>
      </c>
    </row>
    <row r="5" ht="22.5" customHeight="1">
      <c r="A5" s="31">
        <v>4.0</v>
      </c>
      <c r="B5" s="31">
        <v>7.0</v>
      </c>
    </row>
    <row r="6" ht="22.5" customHeight="1">
      <c r="A6" s="31">
        <v>5.0</v>
      </c>
      <c r="B6" s="31">
        <v>7.0</v>
      </c>
    </row>
    <row r="7" ht="22.5" customHeight="1">
      <c r="A7" s="31">
        <v>6.0</v>
      </c>
      <c r="B7" s="31">
        <v>7.0</v>
      </c>
    </row>
    <row r="8" ht="22.5" customHeight="1">
      <c r="A8" s="31">
        <v>6.0</v>
      </c>
      <c r="B8" s="31">
        <v>10.0</v>
      </c>
    </row>
    <row r="9" ht="22.5" customHeight="1">
      <c r="A9" s="31">
        <v>7.0</v>
      </c>
      <c r="B9" s="31">
        <v>4.0</v>
      </c>
    </row>
    <row r="10" ht="22.5" customHeight="1">
      <c r="A10" s="31">
        <v>8.0</v>
      </c>
      <c r="B10" s="31">
        <v>4.0</v>
      </c>
    </row>
    <row r="11" ht="22.5" customHeight="1">
      <c r="A11" s="31">
        <v>9.0</v>
      </c>
      <c r="B11" s="31">
        <v>4.0</v>
      </c>
    </row>
    <row r="12" ht="22.5" customHeight="1">
      <c r="A12" s="31">
        <v>10.0</v>
      </c>
      <c r="B12" s="31">
        <v>4.0</v>
      </c>
    </row>
    <row r="13" ht="22.5" customHeight="1">
      <c r="A13" s="31">
        <v>10.0</v>
      </c>
      <c r="B13" s="31">
        <v>7.0</v>
      </c>
    </row>
    <row r="14" ht="22.5" customHeight="1">
      <c r="A14" s="31">
        <v>11.0</v>
      </c>
      <c r="B14" s="31">
        <v>6.0</v>
      </c>
    </row>
    <row r="15" ht="22.5" customHeight="1">
      <c r="A15" s="31">
        <v>11.0</v>
      </c>
      <c r="B15" s="31">
        <v>8.0</v>
      </c>
    </row>
    <row r="16" ht="22.5" customHeight="1">
      <c r="A16" s="31">
        <v>11.0</v>
      </c>
      <c r="B16" s="31">
        <v>9.0</v>
      </c>
    </row>
    <row r="17" ht="22.5" customHeight="1">
      <c r="A17" s="31">
        <v>11.0</v>
      </c>
      <c r="B17" s="31">
        <v>11.0</v>
      </c>
    </row>
    <row r="18" ht="22.5" customHeight="1">
      <c r="A18" s="31">
        <v>11.0</v>
      </c>
      <c r="B18" s="31">
        <v>18.0</v>
      </c>
    </row>
    <row r="19" ht="22.5" customHeight="1">
      <c r="A19" s="31">
        <v>12.0</v>
      </c>
      <c r="B19" s="31">
        <v>7.0</v>
      </c>
    </row>
    <row r="20" ht="22.5" customHeight="1">
      <c r="A20" s="31">
        <v>12.0</v>
      </c>
      <c r="B20" s="31">
        <v>10.0</v>
      </c>
    </row>
    <row r="21" ht="22.5" customHeight="1">
      <c r="A21" s="31">
        <v>13.0</v>
      </c>
      <c r="B21" s="31">
        <v>6.0</v>
      </c>
    </row>
    <row r="22" ht="22.5" customHeight="1">
      <c r="A22" s="31">
        <v>13.0</v>
      </c>
      <c r="B22" s="31">
        <v>11.0</v>
      </c>
    </row>
    <row r="23" ht="22.5" customHeight="1">
      <c r="A23" s="31">
        <v>14.0</v>
      </c>
      <c r="B23" s="31">
        <v>5.0</v>
      </c>
    </row>
    <row r="24" ht="22.5" customHeight="1">
      <c r="A24" s="31">
        <v>15.0</v>
      </c>
      <c r="B24" s="31">
        <v>6.0</v>
      </c>
    </row>
    <row r="25" ht="22.5" customHeight="1">
      <c r="A25" s="31">
        <v>15.0</v>
      </c>
      <c r="B25" s="31">
        <v>9.0</v>
      </c>
    </row>
    <row r="26" ht="22.5" customHeight="1">
      <c r="A26" s="31">
        <v>16.0</v>
      </c>
      <c r="B26" s="31">
        <v>6.0</v>
      </c>
    </row>
    <row r="27" ht="22.5" customHeight="1">
      <c r="A27" s="31">
        <v>16.0</v>
      </c>
      <c r="B27" s="31">
        <v>9.0</v>
      </c>
    </row>
    <row r="28" ht="22.5" customHeight="1">
      <c r="A28" s="31">
        <v>17.0</v>
      </c>
      <c r="B28" s="31">
        <v>8.0</v>
      </c>
    </row>
    <row r="29" ht="22.5" customHeight="1">
      <c r="A29" s="31">
        <v>17.0</v>
      </c>
      <c r="B29" s="31">
        <v>18.0</v>
      </c>
    </row>
    <row r="30" ht="22.5" customHeight="1">
      <c r="A30" s="31">
        <v>18.0</v>
      </c>
      <c r="B30" s="31">
        <v>6.0</v>
      </c>
    </row>
    <row r="31" ht="22.5" customHeight="1">
      <c r="A31" s="31">
        <v>18.0</v>
      </c>
      <c r="B31" s="31">
        <v>10.0</v>
      </c>
    </row>
    <row r="32" ht="22.5" customHeight="1">
      <c r="A32" s="31">
        <v>19.0</v>
      </c>
      <c r="B32" s="31">
        <v>7.0</v>
      </c>
    </row>
    <row r="33" ht="22.5" customHeight="1">
      <c r="A33" s="31">
        <v>20.0</v>
      </c>
      <c r="B33" s="31">
        <v>7.0</v>
      </c>
    </row>
    <row r="34" ht="22.5" customHeight="1">
      <c r="A34" s="31">
        <v>21.0</v>
      </c>
      <c r="B34" s="31">
        <v>7.0</v>
      </c>
    </row>
    <row r="35" ht="22.5" customHeight="1">
      <c r="A35" s="31">
        <v>22.0</v>
      </c>
      <c r="B35" s="31">
        <v>7.0</v>
      </c>
    </row>
    <row r="36" ht="22.5" customHeight="1">
      <c r="A36" s="31">
        <v>23.0</v>
      </c>
      <c r="B36" s="31">
        <v>4.0</v>
      </c>
    </row>
    <row r="37" ht="22.5" customHeight="1">
      <c r="A37" s="31">
        <v>24.0</v>
      </c>
      <c r="B37" s="31">
        <v>8.0</v>
      </c>
    </row>
    <row r="38" ht="22.5" customHeight="1">
      <c r="A38" s="31">
        <v>24.0</v>
      </c>
      <c r="B38" s="31">
        <v>11.0</v>
      </c>
    </row>
    <row r="39" ht="22.5" customHeight="1">
      <c r="A39" s="31">
        <v>24.0</v>
      </c>
      <c r="B39" s="31">
        <v>18.0</v>
      </c>
    </row>
    <row r="40" ht="22.5" customHeight="1">
      <c r="A40" s="31">
        <v>25.0</v>
      </c>
      <c r="B40" s="31">
        <v>7.0</v>
      </c>
    </row>
    <row r="41" ht="22.5" customHeight="1">
      <c r="A41" s="31">
        <v>25.0</v>
      </c>
      <c r="B41" s="31">
        <v>10.0</v>
      </c>
    </row>
    <row r="42" ht="22.5" customHeight="1">
      <c r="A42" s="31">
        <v>26.0</v>
      </c>
      <c r="B42" s="31">
        <v>6.0</v>
      </c>
    </row>
    <row r="43" ht="22.5" customHeight="1">
      <c r="A43" s="31">
        <v>26.0</v>
      </c>
      <c r="B43" s="31">
        <v>11.0</v>
      </c>
    </row>
    <row r="44" ht="22.5" customHeight="1">
      <c r="A44" s="31">
        <v>27.0</v>
      </c>
      <c r="B44" s="31">
        <v>5.0</v>
      </c>
    </row>
    <row r="45" ht="22.5" customHeight="1">
      <c r="A45" s="31">
        <v>28.0</v>
      </c>
      <c r="B45" s="31">
        <v>11.0</v>
      </c>
    </row>
    <row r="46" ht="22.5" customHeight="1">
      <c r="A46" s="31">
        <v>28.0</v>
      </c>
      <c r="B46" s="31">
        <v>18.0</v>
      </c>
    </row>
    <row r="47" ht="22.5" customHeight="1">
      <c r="A47" s="31">
        <v>29.0</v>
      </c>
      <c r="B47" s="31">
        <v>11.0</v>
      </c>
    </row>
    <row r="48" ht="22.5" customHeight="1">
      <c r="A48" s="31">
        <v>29.0</v>
      </c>
      <c r="B48" s="31">
        <v>18.0</v>
      </c>
    </row>
    <row r="49" ht="22.5" customHeight="1">
      <c r="A49" s="31">
        <v>30.0</v>
      </c>
      <c r="B49" s="31">
        <v>8.0</v>
      </c>
    </row>
    <row r="50" ht="22.5" customHeight="1">
      <c r="A50" s="31">
        <v>30.0</v>
      </c>
      <c r="B50" s="31">
        <v>11.0</v>
      </c>
    </row>
    <row r="51" ht="22.5" customHeight="1">
      <c r="A51" s="31">
        <v>30.0</v>
      </c>
      <c r="B51" s="31">
        <v>18.0</v>
      </c>
    </row>
    <row r="52" ht="22.5" customHeight="1">
      <c r="A52" s="31">
        <v>31.0</v>
      </c>
      <c r="B52" s="31">
        <v>10.0</v>
      </c>
    </row>
  </sheetData>
  <drawing r:id="rId1"/>
  <tableParts count="1">
    <tablePart r:id="rId3"/>
  </tableParts>
</worksheet>
</file>

<file path=xl/worksheets/sheet1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20.38"/>
    <col customWidth="1" min="2" max="2" width="13.25"/>
  </cols>
  <sheetData>
    <row r="1" ht="22.5" customHeight="1">
      <c r="A1" s="1" t="s">
        <v>313</v>
      </c>
      <c r="B1" s="1" t="s">
        <v>184</v>
      </c>
    </row>
    <row r="2" ht="22.5" customHeight="1">
      <c r="A2" s="2">
        <v>1.0</v>
      </c>
      <c r="B2" s="2">
        <v>1.0</v>
      </c>
    </row>
    <row r="3" ht="22.5" customHeight="1">
      <c r="A3" s="2">
        <v>2.0</v>
      </c>
      <c r="B3" s="2">
        <v>1.0</v>
      </c>
    </row>
    <row r="4" ht="22.5" customHeight="1">
      <c r="A4" s="2">
        <v>3.0</v>
      </c>
      <c r="B4" s="2">
        <v>1.0</v>
      </c>
    </row>
    <row r="5" ht="22.5" customHeight="1">
      <c r="A5" s="2">
        <v>4.0</v>
      </c>
      <c r="B5" s="2">
        <v>1.0</v>
      </c>
    </row>
    <row r="6" ht="22.5" customHeight="1">
      <c r="A6" s="2">
        <v>5.0</v>
      </c>
      <c r="B6" s="2">
        <v>1.0</v>
      </c>
    </row>
    <row r="7" ht="22.5" customHeight="1">
      <c r="A7" s="2">
        <v>6.0</v>
      </c>
      <c r="B7" s="2">
        <v>1.0</v>
      </c>
    </row>
  </sheetData>
  <drawing r:id="rId1"/>
  <tableParts count="1">
    <tablePart r:id="rId3"/>
  </tableParts>
</worksheet>
</file>

<file path=xl/worksheets/sheet1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8.38"/>
    <col customWidth="1" min="2" max="2" width="16.13"/>
  </cols>
  <sheetData>
    <row r="1" ht="22.5" customHeight="1">
      <c r="A1" s="12" t="s">
        <v>184</v>
      </c>
      <c r="B1" s="12" t="s">
        <v>314</v>
      </c>
    </row>
    <row r="2" ht="22.5" customHeight="1">
      <c r="A2" s="16">
        <v>1.0</v>
      </c>
      <c r="B2" s="16">
        <v>3.0</v>
      </c>
    </row>
    <row r="3" ht="22.5" customHeight="1">
      <c r="A3" s="16">
        <v>1.0</v>
      </c>
      <c r="B3" s="16">
        <v>4.0</v>
      </c>
    </row>
    <row r="4" ht="22.5" customHeight="1">
      <c r="A4" s="16">
        <v>1.0</v>
      </c>
      <c r="B4" s="16">
        <v>5.0</v>
      </c>
    </row>
    <row r="5" ht="22.5" customHeight="1">
      <c r="A5" s="16">
        <v>1.0</v>
      </c>
      <c r="B5" s="16">
        <v>20.0</v>
      </c>
    </row>
    <row r="6" ht="22.5" customHeight="1">
      <c r="A6" s="16">
        <v>1.0</v>
      </c>
      <c r="B6" s="16">
        <v>23.0</v>
      </c>
    </row>
    <row r="7" ht="22.5" customHeight="1">
      <c r="A7" s="16">
        <v>1.0</v>
      </c>
      <c r="B7" s="16">
        <v>24.0</v>
      </c>
    </row>
    <row r="8" ht="22.5" customHeight="1">
      <c r="A8" s="14">
        <v>1.0</v>
      </c>
      <c r="B8" s="14">
        <v>15.0</v>
      </c>
    </row>
    <row r="9" ht="22.5" customHeight="1">
      <c r="A9" s="14">
        <v>1.0</v>
      </c>
      <c r="B9" s="14">
        <v>17.0</v>
      </c>
    </row>
    <row r="10" ht="22.5" customHeight="1">
      <c r="A10" s="14">
        <v>1.0</v>
      </c>
      <c r="B10" s="14">
        <v>19.0</v>
      </c>
    </row>
  </sheetData>
  <drawing r:id="rId1"/>
  <tableParts count="1">
    <tablePart r:id="rId3"/>
  </tableParts>
</worksheet>
</file>